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ALBATROS4\Users\Dossier Commun Cabinet MOEGLIN\Missions\2021\KERIALIS - Santé_4T2020 v3\modèle TEMPLATE\"/>
    </mc:Choice>
  </mc:AlternateContent>
  <xr:revisionPtr revIDLastSave="0" documentId="13_ncr:1_{A0D981C1-A21B-4DF3-AE0C-B02251DBE6EC}" xr6:coauthVersionLast="46" xr6:coauthVersionMax="46" xr10:uidLastSave="{00000000-0000-0000-0000-000000000000}"/>
  <bookViews>
    <workbookView xWindow="-120" yWindow="-120" windowWidth="25440" windowHeight="14775" activeTab="8" xr2:uid="{00000000-000D-0000-FFFF-FFFF00000000}"/>
  </bookViews>
  <sheets>
    <sheet name="Page de garde" sheetId="13" r:id="rId1"/>
    <sheet name="Résultats" sheetId="14" r:id="rId2"/>
    <sheet name="Evolution effectifs" sheetId="16" r:id="rId3"/>
    <sheet name="Démographie" sheetId="18" r:id="rId4"/>
    <sheet name="Prestations Réglées" sheetId="21" r:id="rId5"/>
    <sheet name="Prestations Réglées N et N-1" sheetId="40" r:id="rId6"/>
    <sheet name="Prestations Réglées Graph" sheetId="31" r:id="rId7"/>
    <sheet name="Prestations Réglées_OPTIQUE" sheetId="38" r:id="rId8"/>
    <sheet name="Prestations Réglées_DENTAIRE" sheetId="39" r:id="rId9"/>
    <sheet name="Erreurs" sheetId="36" r:id="rId10"/>
    <sheet name="DATA DEMO" sheetId="4" r:id="rId11"/>
    <sheet name="DATA COT" sheetId="5" r:id="rId12"/>
    <sheet name="DATA PREST" sheetId="6" r:id="rId13"/>
    <sheet name="DATA EXP" sheetId="7" r:id="rId14"/>
    <sheet name="DATA PROV" sheetId="8" r:id="rId15"/>
    <sheet name="DATA QUARTILE" sheetId="9" r:id="rId16"/>
    <sheet name="AFFICHAGE" sheetId="10" r:id="rId17"/>
    <sheet name="COLLEGE" sheetId="26" r:id="rId18"/>
  </sheets>
  <functionGroups builtInGroupCount="19"/>
  <definedNames>
    <definedName name="_xlnm._FilterDatabase" localSheetId="13" hidden="1">'DATA EXP'!$A$1:$Q$1</definedName>
    <definedName name="_xlnm._FilterDatabase" localSheetId="12" hidden="1">'DATA PREST'!$A$1:$R$1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39" l="1"/>
  <c r="C8" i="38"/>
  <c r="C8" i="31"/>
  <c r="C8" i="21"/>
  <c r="E42" i="18"/>
  <c r="C8" i="18"/>
  <c r="C8" i="16"/>
  <c r="E13" i="14"/>
  <c r="C8" i="14"/>
</calcChain>
</file>

<file path=xl/sharedStrings.xml><?xml version="1.0" encoding="utf-8"?>
<sst xmlns="http://schemas.openxmlformats.org/spreadsheetml/2006/main" count="8328" uniqueCount="234">
  <si>
    <t>MAJ EXCEL</t>
  </si>
  <si>
    <t>MAJ POWERPOINT</t>
  </si>
  <si>
    <t>NON</t>
  </si>
  <si>
    <t>STATISTIQUES</t>
  </si>
  <si>
    <t>FRAIS DE SANTE</t>
  </si>
  <si>
    <t>CONFORT</t>
  </si>
  <si>
    <t>Contrat(s)</t>
  </si>
  <si>
    <t/>
  </si>
  <si>
    <t>Collège</t>
  </si>
  <si>
    <t>Ens Pers</t>
  </si>
  <si>
    <t xml:space="preserve">Période analysée : </t>
  </si>
  <si>
    <t>1 janvier 2019 au 31 décembre 2020</t>
  </si>
  <si>
    <t>Date d'arreté des comptes :</t>
  </si>
  <si>
    <t>31 décembre 2020</t>
  </si>
  <si>
    <t xml:space="preserve">Date d'arrêté : </t>
  </si>
  <si>
    <t>Prestations</t>
  </si>
  <si>
    <t>Provisions</t>
  </si>
  <si>
    <t>Cotisations brutes</t>
  </si>
  <si>
    <t>Taux de chargements</t>
  </si>
  <si>
    <t xml:space="preserve">Cotisations nettes </t>
  </si>
  <si>
    <t>Ratio</t>
  </si>
  <si>
    <t>GLOBAL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</si>
  <si>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</si>
  <si>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</si>
  <si>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</si>
  <si>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r>
      <t>§</t>
    </r>
    <r>
      <rPr>
        <sz val="14"/>
        <rFont val="Arial"/>
        <family val="2"/>
      </rPr>
      <t xml:space="preserve"> </t>
    </r>
    <r>
      <rPr>
        <sz val="14"/>
        <rFont val="DINBek"/>
      </rPr>
      <t>Effectifs par société</t>
    </r>
  </si>
  <si>
    <t>ASSURES</t>
  </si>
  <si>
    <t>Effectif N-1</t>
  </si>
  <si>
    <t>Effectif N</t>
  </si>
  <si>
    <t>Evolution</t>
  </si>
  <si>
    <t>Répartition</t>
  </si>
  <si>
    <t>assuré</t>
  </si>
  <si>
    <t>conjoint</t>
  </si>
  <si>
    <t>enfant</t>
  </si>
  <si>
    <t>Total général</t>
  </si>
  <si>
    <r>
      <t>§</t>
    </r>
    <r>
      <rPr>
        <sz val="12"/>
        <rFont val="Arial"/>
        <family val="2"/>
      </rPr>
      <t xml:space="preserve"> </t>
    </r>
    <r>
      <rPr>
        <sz val="12"/>
        <rFont val="DINBek"/>
      </rPr>
      <t>Nombre d'assurés</t>
    </r>
  </si>
  <si>
    <r>
      <rPr>
        <sz val="12"/>
        <rFont val="Wingdings"/>
        <charset val="2"/>
      </rPr>
      <t>§</t>
    </r>
    <r>
      <rPr>
        <sz val="12"/>
        <rFont val="DINBek"/>
      </rPr>
      <t xml:space="preserve"> Pyramide des âges des assurés</t>
    </r>
  </si>
  <si>
    <t>Effectif 
N-1</t>
  </si>
  <si>
    <t>Age Moyen N-1</t>
  </si>
  <si>
    <t>Age Moyen N</t>
  </si>
  <si>
    <t xml:space="preserve">Evolution des Effectifs </t>
  </si>
  <si>
    <t>Tranche</t>
  </si>
  <si>
    <t>Masculin</t>
  </si>
  <si>
    <t>Féminin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</si>
  <si>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</si>
  <si>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</si>
  <si>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</si>
  <si>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</si>
  <si>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</si>
  <si>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</si>
  <si>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</si>
  <si>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</si>
  <si>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</si>
  <si>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rFont val="Wingdings"/>
        <charset val="2"/>
      </rPr>
      <t>§</t>
    </r>
    <r>
      <rPr>
        <sz val="12"/>
        <rFont val="DINBek"/>
      </rPr>
      <t xml:space="preserve"> Nombre de bénéficiaires</t>
    </r>
  </si>
  <si>
    <t>Effectif</t>
  </si>
  <si>
    <t>Age Moyen</t>
  </si>
  <si>
    <t>Assuré</t>
  </si>
  <si>
    <t>Conjoint</t>
  </si>
  <si>
    <t>Enfant</t>
  </si>
  <si>
    <t>Coefficient Familial</t>
  </si>
  <si>
    <t>(actifs y compris portabilité)</t>
  </si>
  <si>
    <t>VOS PRESTATIONS</t>
  </si>
  <si>
    <t>NOTRE EXPERIENCE</t>
  </si>
  <si>
    <t>Quantité</t>
  </si>
  <si>
    <t>Fréquence
 (nb d'actes / bénéficiaire)</t>
  </si>
  <si>
    <t>Frais réels</t>
  </si>
  <si>
    <t>Remboursement SS</t>
  </si>
  <si>
    <t>Remboursement Autres régimes</t>
  </si>
  <si>
    <t>Remboursement KERIALIS</t>
  </si>
  <si>
    <t>Remboursement moyen par acte</t>
  </si>
  <si>
    <t>Répartition des Remboursements KERIALIS</t>
  </si>
  <si>
    <t>Taux de couverture</t>
  </si>
  <si>
    <t>AUTRE</t>
  </si>
  <si>
    <t>ACTES DE PROPHYLAXIE ET PREVENTION</t>
  </si>
  <si>
    <t>AUTRES</t>
  </si>
  <si>
    <t>AUTRES PROTHESES ET APPAREILLAGES</t>
  </si>
  <si>
    <t>DIVERS</t>
  </si>
  <si>
    <t>MEDECINE DOUCE</t>
  </si>
  <si>
    <t>PROTHESES AUDITIVES</t>
  </si>
  <si>
    <t xml:space="preserve">CURE </t>
  </si>
  <si>
    <t>CURE THERMALE</t>
  </si>
  <si>
    <t>DENTA</t>
  </si>
  <si>
    <t>ACTES D'ENDODONTIE</t>
  </si>
  <si>
    <t>COURONNE TRANSITOIRE RAC 0</t>
  </si>
  <si>
    <t>COURONNE TRANSITOIRE TARIF LIBRE</t>
  </si>
  <si>
    <t>COURONNE ZIRCONE RAC 0</t>
  </si>
  <si>
    <t>COURONNE ZIRCONE RAC MODERE</t>
  </si>
  <si>
    <t>DENTAIRE</t>
  </si>
  <si>
    <t>IMPLANTOLOGIE (YC COURONNE/IMPLANT)</t>
  </si>
  <si>
    <t>INLAY CORE RAC  MODERE</t>
  </si>
  <si>
    <t>INLAY CORE RAC 0</t>
  </si>
  <si>
    <t>INLAY ONLAY RAC MODERE</t>
  </si>
  <si>
    <t>ORTHODONTIE ACCEPTEE</t>
  </si>
  <si>
    <t>ORTHODONTIE REFUSEE</t>
  </si>
  <si>
    <t>PARODONTOLOGIE (TISSUS SOUTIEN DENT</t>
  </si>
  <si>
    <t>PROTH. AMOVIBLE DE TRANSITION RAC 0</t>
  </si>
  <si>
    <t>PROTHESE AMOVIBLE RAC 0</t>
  </si>
  <si>
    <t>PROTHESE AMOVIBLE RAC MODERE</t>
  </si>
  <si>
    <t>PROTHESE FIXE CERAMIQUE TARIF LIBRE</t>
  </si>
  <si>
    <t>PROTHESE FIXE METALLIQUE RAC0</t>
  </si>
  <si>
    <t>PROTHESE FIXE RAC 0</t>
  </si>
  <si>
    <t>PROTHESE FIXE RAC MODERE</t>
  </si>
  <si>
    <t>PROTHESES DENTAIRES ACCEPTEES</t>
  </si>
  <si>
    <t>REPARATION PROTHESE RAC MODERE</t>
  </si>
  <si>
    <t>SOINS DENTAIRES</t>
  </si>
  <si>
    <t>HOSPI</t>
  </si>
  <si>
    <t>ACTES DE CHIRUR  CETIP</t>
  </si>
  <si>
    <t>CHAMBRE PARTICULIERE</t>
  </si>
  <si>
    <t>FRAIS D'ACCOMPAGNEMENT</t>
  </si>
  <si>
    <t>HONORAIRES</t>
  </si>
  <si>
    <t>TRANSPORT</t>
  </si>
  <si>
    <t>MATER</t>
  </si>
  <si>
    <t>MATERNITE</t>
  </si>
  <si>
    <t>NON D</t>
  </si>
  <si>
    <t>HORS NOMENCLATURE</t>
  </si>
  <si>
    <t>PARTICIPATION ASSURE</t>
  </si>
  <si>
    <t>PRELEVEMENT      CETIP</t>
  </si>
  <si>
    <t>REPARATION ADJONCTION RAC 0</t>
  </si>
  <si>
    <t>OPTIQ</t>
  </si>
  <si>
    <t>CHIRURGIE DE L'ŒIL</t>
  </si>
  <si>
    <t>LENTILLES</t>
  </si>
  <si>
    <t>LUNETTES</t>
  </si>
  <si>
    <t>MONTURE</t>
  </si>
  <si>
    <t>MONTURE + VERRES ADULTE</t>
  </si>
  <si>
    <t>MONTURE + VERRES ENFANT</t>
  </si>
  <si>
    <t>VERRES</t>
  </si>
  <si>
    <t>PHARM</t>
  </si>
  <si>
    <t>PHARMACIE</t>
  </si>
  <si>
    <t>PREVE</t>
  </si>
  <si>
    <t>PREVENTION</t>
  </si>
  <si>
    <t>SOINS</t>
  </si>
  <si>
    <t>ACTES DE SPECIALISTES</t>
  </si>
  <si>
    <t>ACTES D'IMAGERIE</t>
  </si>
  <si>
    <t>ANALYSES</t>
  </si>
  <si>
    <t>AUXILIAIRES MEDICAUX</t>
  </si>
  <si>
    <t>CONSULTATIONS ET VISITES</t>
  </si>
  <si>
    <t>Moyenne par assuré</t>
  </si>
  <si>
    <t>Répartition des remboursements</t>
  </si>
  <si>
    <t xml:space="preserve"> Variation 2020 / 2019</t>
  </si>
  <si>
    <t>BRIDGE RAC MODERE</t>
  </si>
  <si>
    <t>IMPLANTOLOGIE</t>
  </si>
  <si>
    <t>PARODONTOLOGIE ACCEPTEE</t>
  </si>
  <si>
    <t>PARODONTOLOGIE REFUSEE</t>
  </si>
  <si>
    <t>PROTHESES DENTAIRES REFUSEES</t>
  </si>
  <si>
    <t>REPAR. PROTH. ADJOINTE SIMPLE RAC 0</t>
  </si>
  <si>
    <t>FORFAIT JOURNALIER</t>
  </si>
  <si>
    <t>100% FLUX</t>
  </si>
  <si>
    <t>Ventilation des remboursements KERIALIS par famille d’actes</t>
  </si>
  <si>
    <t>Vos prestations</t>
  </si>
  <si>
    <t>Taux de couverture par famille d'actes</t>
  </si>
  <si>
    <t>Remboursement moyen KERIALIS par acte</t>
  </si>
  <si>
    <t>Votre taux de couverture</t>
  </si>
  <si>
    <t>Taux de couverture
NOTRE EXPERIENCE</t>
  </si>
  <si>
    <t>Notre expérience</t>
  </si>
  <si>
    <t>Remboursement Autres Régimes</t>
  </si>
  <si>
    <t>Somme de Reste à charge</t>
  </si>
  <si>
    <t>Moyenne par assurés</t>
  </si>
  <si>
    <t>Numéro chronologique</t>
  </si>
  <si>
    <t>Traitement concerné</t>
  </si>
  <si>
    <t>Libellé Famille</t>
  </si>
  <si>
    <t>Libellé Acte</t>
  </si>
  <si>
    <t>Libellé de l'erreur</t>
  </si>
  <si>
    <t>ANNEE</t>
  </si>
  <si>
    <t>LIBSUB</t>
  </si>
  <si>
    <t>AGE</t>
  </si>
  <si>
    <t>SEXE</t>
  </si>
  <si>
    <t>LIEN</t>
  </si>
  <si>
    <t>Tranche d'âge</t>
  </si>
  <si>
    <t>NombreAssuré</t>
  </si>
  <si>
    <t>Age * NombreAssuré</t>
  </si>
  <si>
    <t>LIBCOL</t>
  </si>
  <si>
    <t>FAMILLE COLLEGE</t>
  </si>
  <si>
    <t>DEBPRIME</t>
  </si>
  <si>
    <t>FINPRIME</t>
  </si>
  <si>
    <t>CONTRAT</t>
  </si>
  <si>
    <t>CODCOL</t>
  </si>
  <si>
    <t>COTISATION NETTE</t>
  </si>
  <si>
    <t>COTISATION BRUTE</t>
  </si>
  <si>
    <t>AU</t>
  </si>
  <si>
    <t>ANNEESOIN</t>
  </si>
  <si>
    <t>LIBACTE</t>
  </si>
  <si>
    <t>LIBFAM</t>
  </si>
  <si>
    <t>TYPE CAS NON CAS</t>
  </si>
  <si>
    <t>NBREACTE</t>
  </si>
  <si>
    <t>FRAISREELS</t>
  </si>
  <si>
    <t>REMBSS</t>
  </si>
  <si>
    <t>REMBANNEXE</t>
  </si>
  <si>
    <t>REMBNOUS</t>
  </si>
  <si>
    <t>RESEAU</t>
  </si>
  <si>
    <t>MINFR</t>
  </si>
  <si>
    <t>MAXFR</t>
  </si>
  <si>
    <t>MINNOUS</t>
  </si>
  <si>
    <t>MAXNOUS</t>
  </si>
  <si>
    <t>FAUX</t>
  </si>
  <si>
    <t>VRAI</t>
  </si>
  <si>
    <t>MAJO. DIMACETIP</t>
  </si>
  <si>
    <t>PROVISION</t>
  </si>
  <si>
    <t>Min</t>
  </si>
  <si>
    <t>Max</t>
  </si>
  <si>
    <t>Quartile 1</t>
  </si>
  <si>
    <t>Quartile 2</t>
  </si>
  <si>
    <t>Quartile 3</t>
  </si>
  <si>
    <t>Quartile 4</t>
  </si>
  <si>
    <t>Moyenne</t>
  </si>
  <si>
    <t>ORDRE</t>
  </si>
  <si>
    <t>FAMILLE</t>
  </si>
  <si>
    <t>ACTE</t>
  </si>
  <si>
    <t>DATE DEBUT</t>
  </si>
  <si>
    <t>DATE FIN</t>
  </si>
  <si>
    <t>DATE D'ARRETE</t>
  </si>
  <si>
    <t>Taxe</t>
  </si>
  <si>
    <t>Taux Actifs</t>
  </si>
  <si>
    <t>Taux Périphériques</t>
  </si>
  <si>
    <t>01/01/2019</t>
  </si>
  <si>
    <t>31/12/2020</t>
  </si>
  <si>
    <t>APPAREILLAGE REFUSE</t>
  </si>
  <si>
    <t>FAMILLE A TRAITER INDIVIDUELLEMENT</t>
  </si>
  <si>
    <t>PRODUITS DIETETIQUES</t>
  </si>
  <si>
    <t>OPTIQUE</t>
  </si>
  <si>
    <t>VERRES ADULTE CTRT RESP.(F)</t>
  </si>
  <si>
    <t>CURES THERMALES</t>
  </si>
  <si>
    <t>VERRES ENFANT CTRT RESP.(C)</t>
  </si>
  <si>
    <t>SUPPL. PROTH. METALLIQUE RAC MODERE</t>
  </si>
  <si>
    <t>HOSPITALISATION</t>
  </si>
  <si>
    <t>FRAIS OBSEQUES</t>
  </si>
  <si>
    <t>GHS ETS MEDIC.SPEC.</t>
  </si>
  <si>
    <t>SOINS COURANTS</t>
  </si>
  <si>
    <t>TEST_1</t>
  </si>
  <si>
    <t>TEST_2</t>
  </si>
  <si>
    <t>CONSULTATIONS ET VISITES_</t>
  </si>
  <si>
    <t>Code collège</t>
  </si>
  <si>
    <t>Libellé collège</t>
  </si>
  <si>
    <t>ACTIFS</t>
  </si>
  <si>
    <t>CONFORT : Détail des Prestations Réglées - Synthèse par famille d'actes année 2019 et année 2020 - années 2019 et 2020 - années 2019 et 2020 - années 2019 et 2020 - années 2019 et 2020 - années 2019 et 2020 - années 2019 et 2020 - années 2019 et 2020 - années 2019 et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</si>
</sst>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#,##0\ &quot;€&quot;"/>
    <numFmt numFmtId="167" formatCode="0.0000000000000000"/>
    <numFmt numFmtId="168" formatCode="_-* #,##0\ _€_-;\-* #,##0\ _€_-;_-* &quot;-&quot;??\ _€_-;_-@_-"/>
    <numFmt numFmtId="169" formatCode="_-* #,##0.0\ _€_-;\-* #,##0.0\ _€_-;_-* &quot;-&quot;??\ _€_-;_-@_-"/>
    <numFmt numFmtId="170" formatCode="0.0%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sz val="14"/>
      <color theme="1"/>
      <name val="Calibri"/>
      <family val="2"/>
      <scheme val="minor"/>
    </font>
    <font>
      <b/>
      <i/>
      <sz val="14"/>
      <color indexed="9"/>
      <name val="DINBek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sz val="11"/>
      <name val="Calibri"/>
      <family val="2"/>
      <scheme val="minor"/>
    </font>
    <font>
      <b/>
      <sz val="14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DINBek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1"/>
      <color rgb="FF00B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4"/>
      <color rgb="FF4FACBE"/>
      <name val="DINBek"/>
    </font>
    <font>
      <sz val="11"/>
      <color rgb="FF4FACBE"/>
      <name val="Calibri"/>
      <family val="2"/>
      <scheme val="minor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8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4"/>
      <color rgb="FF4FACBE"/>
      <name val="DINBek"/>
    </font>
    <font>
      <b/>
      <sz val="10"/>
      <color rgb="FF4FACBE"/>
      <name val="DINBek"/>
    </font>
    <font>
      <sz val="12"/>
      <color rgb="FF4FACBE"/>
      <name val="DINBek"/>
    </font>
    <font>
      <b/>
      <sz val="14"/>
      <color rgb="FF4FACBE"/>
      <name val="DINBek"/>
    </font>
    <font>
      <sz val="14"/>
      <color rgb="FF4FACBE"/>
      <name val="Calibri"/>
      <family val="2"/>
      <scheme val="minor"/>
    </font>
    <font>
      <sz val="14"/>
      <color rgb="FF4FACBE"/>
      <name val="Wingdings"/>
    </font>
    <font>
      <sz val="12"/>
      <color rgb="FF4FACBE"/>
      <name val="Wingdings"/>
    </font>
    <font>
      <sz val="11"/>
      <color rgb="FF4FACBE"/>
      <name val="Calibri"/>
      <family val="2"/>
    </font>
    <font>
      <sz val="9"/>
      <color rgb="FF4FACBE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name val="Arial"/>
      <family val="2"/>
    </font>
    <font>
      <sz val="12"/>
      <name val="Arial"/>
      <family val="2"/>
    </font>
    <font>
      <sz val="12"/>
      <name val="Wingdings"/>
      <charset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</fills>
  <borders count="56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dotted">
        <color theme="3"/>
      </right>
      <top style="hair">
        <color theme="3"/>
      </top>
      <bottom style="medium">
        <color theme="3"/>
      </bottom>
      <diagonal/>
    </border>
    <border>
      <left/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0"/>
      </right>
      <top style="medium">
        <color theme="3"/>
      </top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3"/>
      </left>
      <right style="dotted">
        <color theme="3"/>
      </right>
      <top/>
      <bottom/>
      <diagonal/>
    </border>
    <border>
      <left style="dotted">
        <color theme="3"/>
      </left>
      <right style="thick">
        <color theme="0"/>
      </right>
      <top/>
      <bottom style="medium">
        <color theme="3"/>
      </bottom>
      <diagonal/>
    </border>
    <border>
      <left style="dotted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</borders>
  <cellStyleXfs count="10">
    <xf numFmtId="0" fontId="0" fillId="0" borderId="0"/>
    <xf numFmtId="165" fontId="1" fillId="0" borderId="0"/>
    <xf numFmtId="164" fontId="1" fillId="0" borderId="0"/>
    <xf numFmtId="0" fontId="3" fillId="0" borderId="0"/>
    <xf numFmtId="0" fontId="3" fillId="0" borderId="0"/>
    <xf numFmtId="0" fontId="26" fillId="0" borderId="0"/>
    <xf numFmtId="0" fontId="3" fillId="0" borderId="0"/>
    <xf numFmtId="0" fontId="3" fillId="0" borderId="0"/>
    <xf numFmtId="9" fontId="1" fillId="0" borderId="0"/>
    <xf numFmtId="9" fontId="3" fillId="0" borderId="0"/>
  </cellStyleXfs>
  <cellXfs count="281">
    <xf numFmtId="0" fontId="0" fillId="0" borderId="0" xfId="0" applyNumberFormat="1" applyFont="1" applyFill="1" applyBorder="1"/>
    <xf numFmtId="0" fontId="3" fillId="0" borderId="0" xfId="3" applyNumberFormat="1" applyFont="1" applyFill="1" applyBorder="1"/>
    <xf numFmtId="0" fontId="26" fillId="0" borderId="0" xfId="5" applyNumberFormat="1" applyFont="1" applyFill="1" applyBorder="1"/>
    <xf numFmtId="0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0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2" fillId="0" borderId="0" xfId="0" applyNumberFormat="1" applyFont="1" applyFill="1" applyBorder="1"/>
    <xf numFmtId="0" fontId="2" fillId="0" borderId="0" xfId="0" applyNumberFormat="1" applyFont="1" applyFill="1" applyBorder="1"/>
    <xf numFmtId="0" fontId="4" fillId="2" borderId="0" xfId="6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3" applyNumberFormat="1" applyFont="1" applyFill="1" applyBorder="1" applyAlignment="1">
      <alignment horizontal="center" vertical="center"/>
    </xf>
    <xf numFmtId="9" fontId="5" fillId="0" borderId="2" xfId="8" applyNumberFormat="1" applyFont="1" applyFill="1" applyBorder="1" applyAlignment="1">
      <alignment horizontal="center" vertical="center"/>
    </xf>
    <xf numFmtId="0" fontId="6" fillId="2" borderId="0" xfId="6" applyNumberFormat="1" applyFont="1" applyFill="1" applyBorder="1" applyAlignment="1">
      <alignment vertical="center"/>
    </xf>
    <xf numFmtId="9" fontId="6" fillId="2" borderId="0" xfId="8" applyNumberFormat="1" applyFont="1" applyFill="1" applyBorder="1" applyAlignment="1">
      <alignment horizontal="center" vertical="center" wrapText="1"/>
    </xf>
    <xf numFmtId="0" fontId="7" fillId="0" borderId="0" xfId="0" applyNumberFormat="1" applyFont="1" applyFill="1" applyBorder="1"/>
    <xf numFmtId="0" fontId="8" fillId="2" borderId="0" xfId="6" applyNumberFormat="1" applyFont="1" applyFill="1" applyBorder="1" applyAlignment="1">
      <alignment vertical="center" wrapText="1"/>
    </xf>
    <xf numFmtId="0" fontId="9" fillId="0" borderId="0" xfId="3" applyNumberFormat="1" applyFont="1" applyFill="1" applyBorder="1"/>
    <xf numFmtId="0" fontId="9" fillId="0" borderId="0" xfId="3" applyNumberFormat="1" applyFont="1" applyFill="1" applyBorder="1" applyAlignment="1">
      <alignment horizontal="center" vertical="center"/>
    </xf>
    <xf numFmtId="0" fontId="9" fillId="0" borderId="15" xfId="3" applyNumberFormat="1" applyFont="1" applyFill="1" applyBorder="1" applyAlignment="1">
      <alignment horizontal="center" vertical="center"/>
    </xf>
    <xf numFmtId="0" fontId="10" fillId="3" borderId="21" xfId="3" applyNumberFormat="1" applyFont="1" applyFill="1" applyBorder="1" applyAlignment="1">
      <alignment horizontal="center" vertical="center"/>
    </xf>
    <xf numFmtId="0" fontId="11" fillId="4" borderId="14" xfId="3" applyNumberFormat="1" applyFont="1" applyFill="1" applyBorder="1" applyAlignment="1">
      <alignment horizontal="center" vertical="center" wrapText="1"/>
    </xf>
    <xf numFmtId="0" fontId="9" fillId="0" borderId="16" xfId="3" applyNumberFormat="1" applyFont="1" applyFill="1" applyBorder="1" applyAlignment="1">
      <alignment horizontal="center" vertical="center"/>
    </xf>
    <xf numFmtId="1" fontId="9" fillId="0" borderId="17" xfId="3" applyNumberFormat="1" applyFont="1" applyFill="1" applyBorder="1" applyAlignment="1">
      <alignment horizontal="center" vertical="center"/>
    </xf>
    <xf numFmtId="0" fontId="10" fillId="3" borderId="24" xfId="3" applyNumberFormat="1" applyFont="1" applyFill="1" applyBorder="1" applyAlignment="1">
      <alignment horizontal="center" vertical="center"/>
    </xf>
    <xf numFmtId="1" fontId="10" fillId="3" borderId="25" xfId="3" applyNumberFormat="1" applyFont="1" applyFill="1" applyBorder="1" applyAlignment="1">
      <alignment horizontal="center" vertical="center"/>
    </xf>
    <xf numFmtId="0" fontId="9" fillId="0" borderId="15" xfId="3" applyNumberFormat="1" applyFont="1" applyFill="1" applyBorder="1" applyAlignment="1">
      <alignment horizontal="center"/>
    </xf>
    <xf numFmtId="1" fontId="9" fillId="0" borderId="15" xfId="3" applyNumberFormat="1" applyFont="1" applyFill="1" applyBorder="1" applyAlignment="1">
      <alignment horizontal="center"/>
    </xf>
    <xf numFmtId="0" fontId="9" fillId="0" borderId="28" xfId="3" applyNumberFormat="1" applyFont="1" applyFill="1" applyBorder="1" applyAlignment="1">
      <alignment horizontal="center"/>
    </xf>
    <xf numFmtId="1" fontId="9" fillId="0" borderId="28" xfId="3" applyNumberFormat="1" applyFont="1" applyFill="1" applyBorder="1" applyAlignment="1">
      <alignment horizontal="center"/>
    </xf>
    <xf numFmtId="0" fontId="9" fillId="0" borderId="2" xfId="3" applyNumberFormat="1" applyFont="1" applyFill="1" applyBorder="1" applyAlignment="1">
      <alignment horizontal="center"/>
    </xf>
    <xf numFmtId="1" fontId="11" fillId="0" borderId="30" xfId="3" applyNumberFormat="1" applyFont="1" applyFill="1" applyBorder="1" applyAlignment="1">
      <alignment horizontal="center"/>
    </xf>
    <xf numFmtId="0" fontId="3" fillId="0" borderId="19" xfId="3" applyNumberFormat="1" applyFont="1" applyFill="1" applyBorder="1"/>
    <xf numFmtId="1" fontId="9" fillId="5" borderId="17" xfId="8" applyNumberFormat="1" applyFont="1" applyFill="1" applyBorder="1" applyAlignment="1">
      <alignment horizontal="center" vertical="center"/>
    </xf>
    <xf numFmtId="1" fontId="10" fillId="3" borderId="25" xfId="8" applyNumberFormat="1" applyFont="1" applyFill="1" applyBorder="1" applyAlignment="1">
      <alignment horizontal="center" vertical="center"/>
    </xf>
    <xf numFmtId="0" fontId="11" fillId="4" borderId="18" xfId="3" applyNumberFormat="1" applyFont="1" applyFill="1" applyBorder="1" applyAlignment="1">
      <alignment horizontal="center" vertical="center" wrapText="1"/>
    </xf>
    <xf numFmtId="0" fontId="15" fillId="0" borderId="0" xfId="0" applyNumberFormat="1" applyFont="1" applyFill="1" applyBorder="1"/>
    <xf numFmtId="0" fontId="0" fillId="0" borderId="0" xfId="0" quotePrefix="1" applyNumberFormat="1" applyFont="1" applyFill="1" applyBorder="1"/>
    <xf numFmtId="0" fontId="13" fillId="0" borderId="0" xfId="3" applyNumberFormat="1" applyFont="1" applyFill="1" applyBorder="1"/>
    <xf numFmtId="0" fontId="13" fillId="2" borderId="0" xfId="3" applyNumberFormat="1" applyFont="1" applyFill="1" applyBorder="1"/>
    <xf numFmtId="1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left"/>
    </xf>
    <xf numFmtId="166" fontId="2" fillId="0" borderId="0" xfId="0" applyNumberFormat="1" applyFont="1" applyFill="1" applyBorder="1"/>
    <xf numFmtId="166" fontId="0" fillId="0" borderId="0" xfId="0" applyNumberFormat="1" applyFont="1" applyFill="1" applyBorder="1"/>
    <xf numFmtId="166" fontId="4" fillId="0" borderId="0" xfId="6" applyNumberFormat="1" applyFont="1" applyFill="1" applyBorder="1" applyAlignment="1">
      <alignment horizontal="left"/>
    </xf>
    <xf numFmtId="166" fontId="5" fillId="0" borderId="0" xfId="0" applyNumberFormat="1" applyFont="1" applyFill="1" applyBorder="1" applyAlignment="1">
      <alignment horizontal="left" vertical="center"/>
    </xf>
    <xf numFmtId="166" fontId="5" fillId="0" borderId="0" xfId="3" applyNumberFormat="1" applyFont="1" applyFill="1" applyBorder="1" applyAlignment="1">
      <alignment horizontal="center" vertical="center"/>
    </xf>
    <xf numFmtId="166" fontId="5" fillId="0" borderId="2" xfId="3" applyNumberFormat="1" applyFont="1" applyFill="1" applyBorder="1" applyAlignment="1">
      <alignment horizontal="center" vertical="center"/>
    </xf>
    <xf numFmtId="166" fontId="4" fillId="2" borderId="0" xfId="6" applyNumberFormat="1" applyFont="1" applyFill="1" applyBorder="1"/>
    <xf numFmtId="166" fontId="4" fillId="2" borderId="0" xfId="6" applyNumberFormat="1" applyFont="1" applyFill="1" applyBorder="1" applyAlignment="1">
      <alignment horizontal="center"/>
    </xf>
    <xf numFmtId="166" fontId="0" fillId="0" borderId="9" xfId="0" applyNumberFormat="1" applyFont="1" applyFill="1" applyBorder="1"/>
    <xf numFmtId="166" fontId="0" fillId="0" borderId="0" xfId="0" applyNumberFormat="1" applyFont="1" applyFill="1" applyBorder="1"/>
    <xf numFmtId="166" fontId="0" fillId="0" borderId="0" xfId="0" applyNumberFormat="1" applyFont="1" applyFill="1" applyBorder="1"/>
    <xf numFmtId="0" fontId="18" fillId="0" borderId="0" xfId="0" applyNumberFormat="1" applyFont="1" applyFill="1" applyBorder="1"/>
    <xf numFmtId="0" fontId="19" fillId="2" borderId="0" xfId="3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9" fontId="5" fillId="0" borderId="0" xfId="8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10" fontId="0" fillId="6" borderId="0" xfId="0" applyNumberFormat="1" applyFont="1" applyFill="1" applyBorder="1"/>
    <xf numFmtId="14" fontId="0" fillId="6" borderId="0" xfId="0" applyNumberFormat="1" applyFont="1" applyFill="1" applyBorder="1"/>
    <xf numFmtId="0" fontId="0" fillId="6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7" xfId="0" applyNumberFormat="1" applyFont="1" applyFill="1" applyBorder="1"/>
    <xf numFmtId="0" fontId="0" fillId="0" borderId="10" xfId="0" applyNumberFormat="1" applyFont="1" applyFill="1" applyBorder="1"/>
    <xf numFmtId="166" fontId="0" fillId="0" borderId="4" xfId="0" applyNumberFormat="1" applyFont="1" applyFill="1" applyBorder="1"/>
    <xf numFmtId="0" fontId="2" fillId="0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2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22" fillId="0" borderId="0" xfId="0" applyNumberFormat="1" applyFont="1" applyFill="1" applyBorder="1"/>
    <xf numFmtId="0" fontId="23" fillId="0" borderId="6" xfId="0" applyNumberFormat="1" applyFont="1" applyFill="1" applyBorder="1"/>
    <xf numFmtId="0" fontId="23" fillId="0" borderId="0" xfId="0" applyNumberFormat="1" applyFont="1" applyFill="1" applyBorder="1"/>
    <xf numFmtId="0" fontId="23" fillId="0" borderId="7" xfId="0" applyNumberFormat="1" applyFont="1" applyFill="1" applyBorder="1"/>
    <xf numFmtId="0" fontId="20" fillId="0" borderId="0" xfId="0" applyNumberFormat="1" applyFont="1" applyFill="1" applyBorder="1"/>
    <xf numFmtId="0" fontId="21" fillId="0" borderId="6" xfId="0" applyNumberFormat="1" applyFont="1" applyFill="1" applyBorder="1"/>
    <xf numFmtId="0" fontId="9" fillId="0" borderId="0" xfId="4" applyNumberFormat="1" applyFont="1" applyFill="1" applyBorder="1"/>
    <xf numFmtId="0" fontId="21" fillId="0" borderId="7" xfId="0" applyNumberFormat="1" applyFont="1" applyFill="1" applyBorder="1"/>
    <xf numFmtId="0" fontId="21" fillId="0" borderId="0" xfId="0" applyNumberFormat="1" applyFont="1" applyFill="1" applyBorder="1"/>
    <xf numFmtId="167" fontId="21" fillId="0" borderId="0" xfId="0" applyNumberFormat="1" applyFont="1" applyFill="1" applyBorder="1"/>
    <xf numFmtId="0" fontId="21" fillId="2" borderId="0" xfId="0" applyNumberFormat="1" applyFont="1" applyFill="1" applyBorder="1"/>
    <xf numFmtId="0" fontId="25" fillId="2" borderId="0" xfId="4" applyNumberFormat="1" applyFont="1" applyFill="1" applyBorder="1" applyAlignment="1">
      <alignment horizontal="center" vertical="center" wrapText="1"/>
    </xf>
    <xf numFmtId="0" fontId="20" fillId="2" borderId="0" xfId="0" applyNumberFormat="1" applyFont="1" applyFill="1" applyBorder="1"/>
    <xf numFmtId="0" fontId="12" fillId="0" borderId="15" xfId="4" applyNumberFormat="1" applyFont="1" applyFill="1" applyBorder="1"/>
    <xf numFmtId="0" fontId="9" fillId="0" borderId="16" xfId="4" applyNumberFormat="1" applyFont="1" applyFill="1" applyBorder="1" applyAlignment="1">
      <alignment horizontal="center"/>
    </xf>
    <xf numFmtId="9" fontId="9" fillId="0" borderId="17" xfId="8" applyNumberFormat="1" applyFont="1" applyFill="1" applyBorder="1" applyAlignment="1">
      <alignment horizontal="center"/>
    </xf>
    <xf numFmtId="0" fontId="9" fillId="0" borderId="50" xfId="4" applyNumberFormat="1" applyFont="1" applyFill="1" applyBorder="1" applyAlignment="1">
      <alignment horizontal="center"/>
    </xf>
    <xf numFmtId="9" fontId="9" fillId="0" borderId="54" xfId="8" applyNumberFormat="1" applyFont="1" applyFill="1" applyBorder="1" applyAlignment="1">
      <alignment horizontal="center"/>
    </xf>
    <xf numFmtId="0" fontId="9" fillId="0" borderId="0" xfId="4" applyNumberFormat="1" applyFont="1" applyFill="1" applyBorder="1" applyAlignment="1">
      <alignment horizontal="left" vertical="center"/>
    </xf>
    <xf numFmtId="0" fontId="9" fillId="0" borderId="0" xfId="4" applyNumberFormat="1" applyFont="1" applyFill="1" applyBorder="1" applyAlignment="1">
      <alignment horizontal="center"/>
    </xf>
    <xf numFmtId="9" fontId="9" fillId="0" borderId="0" xfId="8" applyNumberFormat="1" applyFont="1" applyFill="1" applyBorder="1" applyAlignment="1">
      <alignment horizontal="center"/>
    </xf>
    <xf numFmtId="9" fontId="9" fillId="0" borderId="0" xfId="4" applyNumberFormat="1" applyFont="1" applyFill="1" applyBorder="1" applyAlignment="1">
      <alignment horizontal="center"/>
    </xf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0" fillId="0" borderId="10" xfId="0" applyNumberFormat="1" applyFont="1" applyFill="1" applyBorder="1"/>
    <xf numFmtId="168" fontId="17" fillId="5" borderId="46" xfId="1" applyNumberFormat="1" applyFont="1" applyFill="1" applyBorder="1" applyAlignment="1">
      <alignment horizontal="right" vertical="center"/>
    </xf>
    <xf numFmtId="166" fontId="17" fillId="5" borderId="46" xfId="3" applyNumberFormat="1" applyFont="1" applyFill="1" applyBorder="1" applyAlignment="1">
      <alignment horizontal="right" vertical="center"/>
    </xf>
    <xf numFmtId="9" fontId="17" fillId="5" borderId="46" xfId="3" applyNumberFormat="1" applyFont="1" applyFill="1" applyBorder="1" applyAlignment="1">
      <alignment horizontal="right" vertical="center"/>
    </xf>
    <xf numFmtId="0" fontId="2" fillId="2" borderId="0" xfId="0" applyNumberFormat="1" applyFont="1" applyFill="1" applyBorder="1"/>
    <xf numFmtId="0" fontId="0" fillId="2" borderId="0" xfId="0" applyNumberFormat="1" applyFont="1" applyFill="1" applyBorder="1"/>
    <xf numFmtId="0" fontId="28" fillId="0" borderId="0" xfId="3" applyNumberFormat="1" applyFont="1" applyFill="1" applyBorder="1"/>
    <xf numFmtId="0" fontId="27" fillId="0" borderId="0" xfId="0" applyNumberFormat="1" applyFont="1" applyFill="1" applyBorder="1" applyAlignment="1">
      <alignment horizontal="center" vertical="center"/>
    </xf>
    <xf numFmtId="0" fontId="27" fillId="0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/>
    <xf numFmtId="0" fontId="27" fillId="2" borderId="0" xfId="0" applyNumberFormat="1" applyFont="1" applyFill="1" applyBorder="1" applyAlignment="1">
      <alignment vertical="center"/>
    </xf>
    <xf numFmtId="10" fontId="30" fillId="0" borderId="0" xfId="0" applyNumberFormat="1" applyFont="1" applyFill="1" applyBorder="1" applyAlignment="1">
      <alignment horizontal="center" vertical="center"/>
    </xf>
    <xf numFmtId="10" fontId="29" fillId="0" borderId="0" xfId="0" applyNumberFormat="1" applyFont="1" applyFill="1" applyBorder="1" applyAlignment="1">
      <alignment horizontal="center" vertical="center"/>
    </xf>
    <xf numFmtId="169" fontId="17" fillId="5" borderId="46" xfId="1" applyNumberFormat="1" applyFont="1" applyFill="1" applyBorder="1" applyAlignment="1">
      <alignment horizontal="right" vertical="center"/>
    </xf>
    <xf numFmtId="10" fontId="29" fillId="0" borderId="0" xfId="0" applyNumberFormat="1" applyFont="1" applyFill="1" applyBorder="1"/>
    <xf numFmtId="10" fontId="0" fillId="0" borderId="0" xfId="0" applyNumberFormat="1" applyFont="1" applyFill="1" applyBorder="1"/>
    <xf numFmtId="10" fontId="2" fillId="0" borderId="0" xfId="0" applyNumberFormat="1" applyFont="1" applyFill="1" applyBorder="1"/>
    <xf numFmtId="10" fontId="0" fillId="0" borderId="9" xfId="0" applyNumberFormat="1" applyFont="1" applyFill="1" applyBorder="1"/>
    <xf numFmtId="0" fontId="0" fillId="0" borderId="0" xfId="0" applyNumberFormat="1" applyFont="1" applyFill="1" applyBorder="1"/>
    <xf numFmtId="0" fontId="0" fillId="0" borderId="9" xfId="0" applyNumberFormat="1" applyFont="1" applyFill="1" applyBorder="1"/>
    <xf numFmtId="0" fontId="0" fillId="7" borderId="0" xfId="0" applyNumberFormat="1" applyFont="1" applyFill="1" applyBorder="1"/>
    <xf numFmtId="0" fontId="11" fillId="8" borderId="55" xfId="3" applyNumberFormat="1" applyFont="1" applyFill="1" applyBorder="1" applyAlignment="1">
      <alignment horizontal="center" vertical="center" wrapText="1"/>
    </xf>
    <xf numFmtId="0" fontId="33" fillId="0" borderId="0" xfId="0" applyNumberFormat="1" applyFont="1" applyFill="1" applyBorder="1"/>
    <xf numFmtId="0" fontId="33" fillId="0" borderId="3" xfId="0" applyNumberFormat="1" applyFont="1" applyFill="1" applyBorder="1"/>
    <xf numFmtId="0" fontId="33" fillId="0" borderId="4" xfId="0" applyNumberFormat="1" applyFont="1" applyFill="1" applyBorder="1"/>
    <xf numFmtId="0" fontId="33" fillId="0" borderId="5" xfId="0" applyNumberFormat="1" applyFont="1" applyFill="1" applyBorder="1"/>
    <xf numFmtId="0" fontId="33" fillId="0" borderId="6" xfId="0" applyNumberFormat="1" applyFont="1" applyFill="1" applyBorder="1"/>
    <xf numFmtId="0" fontId="33" fillId="0" borderId="7" xfId="0" applyNumberFormat="1" applyFont="1" applyFill="1" applyBorder="1"/>
    <xf numFmtId="0" fontId="34" fillId="0" borderId="0" xfId="7" applyNumberFormat="1" applyFont="1" applyFill="1" applyBorder="1" applyAlignment="1">
      <alignment horizontal="left" vertical="center"/>
    </xf>
    <xf numFmtId="0" fontId="33" fillId="0" borderId="0" xfId="0" applyNumberFormat="1" applyFont="1" applyFill="1" applyBorder="1" applyAlignment="1">
      <alignment horizontal="left" vertical="center"/>
    </xf>
    <xf numFmtId="0" fontId="35" fillId="0" borderId="0" xfId="0" applyNumberFormat="1" applyFont="1" applyFill="1" applyBorder="1"/>
    <xf numFmtId="0" fontId="33" fillId="0" borderId="6" xfId="0" applyNumberFormat="1" applyFont="1" applyFill="1" applyBorder="1" applyAlignment="1">
      <alignment wrapText="1"/>
    </xf>
    <xf numFmtId="0" fontId="33" fillId="0" borderId="7" xfId="0" applyNumberFormat="1" applyFont="1" applyFill="1" applyBorder="1" applyAlignment="1">
      <alignment wrapText="1"/>
    </xf>
    <xf numFmtId="0" fontId="33" fillId="0" borderId="0" xfId="0" applyNumberFormat="1" applyFont="1" applyFill="1" applyBorder="1"/>
    <xf numFmtId="0" fontId="35" fillId="0" borderId="6" xfId="0" applyNumberFormat="1" applyFont="1" applyFill="1" applyBorder="1"/>
    <xf numFmtId="0" fontId="35" fillId="0" borderId="0" xfId="0" applyNumberFormat="1" applyFont="1" applyFill="1" applyBorder="1" applyAlignment="1">
      <alignment horizontal="left" vertical="center"/>
    </xf>
    <xf numFmtId="0" fontId="37" fillId="0" borderId="0" xfId="7" applyNumberFormat="1" applyFont="1" applyFill="1" applyBorder="1" applyAlignment="1">
      <alignment horizontal="left" vertical="center"/>
    </xf>
    <xf numFmtId="0" fontId="35" fillId="0" borderId="0" xfId="0" applyNumberFormat="1" applyFont="1" applyFill="1" applyBorder="1"/>
    <xf numFmtId="0" fontId="35" fillId="0" borderId="7" xfId="0" applyNumberFormat="1" applyFont="1" applyFill="1" applyBorder="1"/>
    <xf numFmtId="0" fontId="35" fillId="0" borderId="0" xfId="0" applyNumberFormat="1" applyFont="1" applyFill="1" applyBorder="1" applyAlignment="1">
      <alignment vertical="center" wrapText="1"/>
    </xf>
    <xf numFmtId="0" fontId="38" fillId="0" borderId="0" xfId="7" applyNumberFormat="1" applyFont="1" applyFill="1" applyBorder="1" applyAlignment="1">
      <alignment horizontal="left" vertical="center"/>
    </xf>
    <xf numFmtId="0" fontId="35" fillId="0" borderId="6" xfId="0" applyNumberFormat="1" applyFont="1" applyFill="1" applyBorder="1"/>
    <xf numFmtId="0" fontId="39" fillId="0" borderId="0" xfId="7" applyNumberFormat="1" applyFont="1" applyFill="1" applyBorder="1" applyAlignment="1">
      <alignment horizontal="left" vertical="center"/>
    </xf>
    <xf numFmtId="0" fontId="40" fillId="0" borderId="0" xfId="7" applyNumberFormat="1" applyFont="1" applyFill="1" applyBorder="1" applyAlignment="1">
      <alignment horizontal="left" vertical="center"/>
    </xf>
    <xf numFmtId="0" fontId="41" fillId="0" borderId="0" xfId="7" applyNumberFormat="1" applyFont="1" applyFill="1" applyBorder="1" applyAlignment="1">
      <alignment horizontal="center"/>
    </xf>
    <xf numFmtId="0" fontId="35" fillId="0" borderId="7" xfId="0" applyNumberFormat="1" applyFont="1" applyFill="1" applyBorder="1"/>
    <xf numFmtId="0" fontId="33" fillId="0" borderId="8" xfId="0" applyNumberFormat="1" applyFont="1" applyFill="1" applyBorder="1"/>
    <xf numFmtId="0" fontId="33" fillId="0" borderId="9" xfId="0" applyNumberFormat="1" applyFont="1" applyFill="1" applyBorder="1"/>
    <xf numFmtId="0" fontId="33" fillId="0" borderId="10" xfId="0" applyNumberFormat="1" applyFont="1" applyFill="1" applyBorder="1"/>
    <xf numFmtId="0" fontId="42" fillId="0" borderId="0" xfId="6" quotePrefix="1" applyNumberFormat="1" applyFont="1" applyFill="1" applyBorder="1"/>
    <xf numFmtId="0" fontId="42" fillId="0" borderId="0" xfId="6" applyNumberFormat="1" applyFont="1" applyFill="1" applyBorder="1"/>
    <xf numFmtId="14" fontId="42" fillId="0" borderId="0" xfId="6" applyNumberFormat="1" applyFont="1" applyFill="1" applyBorder="1" applyAlignment="1">
      <alignment horizontal="left"/>
    </xf>
    <xf numFmtId="166" fontId="6" fillId="8" borderId="2" xfId="3" applyNumberFormat="1" applyFont="1" applyFill="1" applyBorder="1" applyAlignment="1">
      <alignment horizontal="center" vertical="center" wrapText="1"/>
    </xf>
    <xf numFmtId="0" fontId="6" fillId="8" borderId="2" xfId="3" applyNumberFormat="1" applyFont="1" applyFill="1" applyBorder="1" applyAlignment="1">
      <alignment horizontal="center" vertical="center" wrapText="1"/>
    </xf>
    <xf numFmtId="0" fontId="6" fillId="8" borderId="1" xfId="3" applyNumberFormat="1" applyFont="1" applyFill="1" applyBorder="1" applyAlignment="1">
      <alignment horizontal="center" vertical="center"/>
    </xf>
    <xf numFmtId="0" fontId="6" fillId="8" borderId="0" xfId="3" applyNumberFormat="1" applyFont="1" applyFill="1" applyBorder="1" applyAlignment="1">
      <alignment horizontal="center" vertical="center"/>
    </xf>
    <xf numFmtId="0" fontId="43" fillId="2" borderId="0" xfId="3" applyNumberFormat="1" applyFont="1" applyFill="1" applyBorder="1" applyAlignment="1">
      <alignment horizontal="center" vertical="center"/>
    </xf>
    <xf numFmtId="0" fontId="13" fillId="2" borderId="0" xfId="6" applyNumberFormat="1" applyFont="1" applyFill="1" applyBorder="1"/>
    <xf numFmtId="0" fontId="44" fillId="2" borderId="0" xfId="6" applyNumberFormat="1" applyFont="1" applyFill="1" applyBorder="1"/>
    <xf numFmtId="0" fontId="42" fillId="0" borderId="0" xfId="0" applyNumberFormat="1" applyFont="1" applyFill="1" applyBorder="1" applyAlignment="1">
      <alignment horizontal="left" vertical="center"/>
    </xf>
    <xf numFmtId="0" fontId="42" fillId="2" borderId="0" xfId="6" applyNumberFormat="1" applyFont="1" applyFill="1" applyBorder="1"/>
    <xf numFmtId="166" fontId="42" fillId="2" borderId="0" xfId="6" applyNumberFormat="1" applyFont="1" applyFill="1" applyBorder="1"/>
    <xf numFmtId="166" fontId="42" fillId="2" borderId="0" xfId="6" applyNumberFormat="1" applyFont="1" applyFill="1" applyBorder="1" applyAlignment="1">
      <alignment horizontal="center"/>
    </xf>
    <xf numFmtId="0" fontId="45" fillId="2" borderId="0" xfId="6" applyNumberFormat="1" applyFont="1" applyFill="1" applyBorder="1" applyAlignment="1">
      <alignment vertical="center"/>
    </xf>
    <xf numFmtId="9" fontId="45" fillId="2" borderId="0" xfId="8" applyNumberFormat="1" applyFont="1" applyFill="1" applyBorder="1" applyAlignment="1">
      <alignment horizontal="center" vertical="center" wrapText="1"/>
    </xf>
    <xf numFmtId="0" fontId="46" fillId="0" borderId="0" xfId="0" applyNumberFormat="1" applyFont="1" applyFill="1" applyBorder="1"/>
    <xf numFmtId="0" fontId="47" fillId="0" borderId="0" xfId="4" applyNumberFormat="1" applyFont="1" applyFill="1" applyBorder="1"/>
    <xf numFmtId="0" fontId="11" fillId="8" borderId="50" xfId="4" applyNumberFormat="1" applyFont="1" applyFill="1" applyBorder="1" applyAlignment="1">
      <alignment horizontal="center" vertical="center" wrapText="1"/>
    </xf>
    <xf numFmtId="0" fontId="11" fillId="8" borderId="51" xfId="4" applyNumberFormat="1" applyFont="1" applyFill="1" applyBorder="1" applyAlignment="1">
      <alignment horizontal="center" vertical="center" wrapText="1"/>
    </xf>
    <xf numFmtId="0" fontId="11" fillId="8" borderId="52" xfId="4" applyNumberFormat="1" applyFont="1" applyFill="1" applyBorder="1" applyAlignment="1">
      <alignment horizontal="center" vertical="center" wrapText="1"/>
    </xf>
    <xf numFmtId="0" fontId="48" fillId="0" borderId="0" xfId="3" applyNumberFormat="1" applyFont="1" applyFill="1" applyBorder="1"/>
    <xf numFmtId="0" fontId="44" fillId="0" borderId="0" xfId="3" applyNumberFormat="1" applyFont="1" applyFill="1" applyBorder="1"/>
    <xf numFmtId="0" fontId="11" fillId="8" borderId="26" xfId="3" applyNumberFormat="1" applyFont="1" applyFill="1" applyBorder="1" applyAlignment="1">
      <alignment horizontal="center" vertical="center"/>
    </xf>
    <xf numFmtId="0" fontId="11" fillId="8" borderId="27" xfId="3" applyNumberFormat="1" applyFont="1" applyFill="1" applyBorder="1" applyAlignment="1">
      <alignment horizontal="center" vertical="center" wrapText="1"/>
    </xf>
    <xf numFmtId="0" fontId="44" fillId="0" borderId="15" xfId="3" applyNumberFormat="1" applyFont="1" applyFill="1" applyBorder="1"/>
    <xf numFmtId="0" fontId="44" fillId="0" borderId="39" xfId="3" applyNumberFormat="1" applyFont="1" applyFill="1" applyBorder="1"/>
    <xf numFmtId="0" fontId="44" fillId="0" borderId="20" xfId="3" applyNumberFormat="1" applyFont="1" applyFill="1" applyBorder="1"/>
    <xf numFmtId="0" fontId="44" fillId="0" borderId="29" xfId="3" applyNumberFormat="1" applyFont="1" applyFill="1" applyBorder="1"/>
    <xf numFmtId="2" fontId="10" fillId="8" borderId="2" xfId="3" applyNumberFormat="1" applyFont="1" applyFill="1" applyBorder="1" applyAlignment="1">
      <alignment horizontal="center"/>
    </xf>
    <xf numFmtId="0" fontId="16" fillId="8" borderId="46" xfId="3" applyNumberFormat="1" applyFont="1" applyFill="1" applyBorder="1" applyAlignment="1">
      <alignment horizontal="center" vertical="center" wrapText="1"/>
    </xf>
    <xf numFmtId="0" fontId="16" fillId="8" borderId="43" xfId="3" applyNumberFormat="1" applyFont="1" applyFill="1" applyBorder="1" applyAlignment="1">
      <alignment horizontal="center" vertical="center" wrapText="1"/>
    </xf>
    <xf numFmtId="0" fontId="16" fillId="8" borderId="44" xfId="3" applyNumberFormat="1" applyFont="1" applyFill="1" applyBorder="1" applyAlignment="1">
      <alignment horizontal="center" vertical="center" wrapText="1"/>
    </xf>
    <xf numFmtId="3" fontId="10" fillId="8" borderId="46" xfId="3" applyNumberFormat="1" applyFont="1" applyFill="1" applyBorder="1" applyAlignment="1">
      <alignment horizontal="right" vertical="center"/>
    </xf>
    <xf numFmtId="169" fontId="10" fillId="8" borderId="46" xfId="3" applyNumberFormat="1" applyFont="1" applyFill="1" applyBorder="1" applyAlignment="1">
      <alignment horizontal="right" vertical="center"/>
    </xf>
    <xf numFmtId="166" fontId="10" fillId="8" borderId="46" xfId="3" applyNumberFormat="1" applyFont="1" applyFill="1" applyBorder="1" applyAlignment="1">
      <alignment horizontal="right" vertical="center"/>
    </xf>
    <xf numFmtId="9" fontId="10" fillId="8" borderId="46" xfId="3" applyNumberFormat="1" applyFont="1" applyFill="1" applyBorder="1" applyAlignment="1">
      <alignment horizontal="right" vertical="center"/>
    </xf>
    <xf numFmtId="170" fontId="10" fillId="8" borderId="46" xfId="3" applyNumberFormat="1" applyFont="1" applyFill="1" applyBorder="1" applyAlignment="1">
      <alignment horizontal="right" vertical="center"/>
    </xf>
    <xf numFmtId="0" fontId="33" fillId="2" borderId="0" xfId="0" applyNumberFormat="1" applyFont="1" applyFill="1" applyBorder="1"/>
    <xf numFmtId="0" fontId="50" fillId="2" borderId="0" xfId="0" applyNumberFormat="1" applyFont="1" applyFill="1" applyBorder="1" applyAlignment="1">
      <alignment horizontal="center" vertical="center" wrapText="1"/>
    </xf>
    <xf numFmtId="0" fontId="49" fillId="2" borderId="0" xfId="0" applyNumberFormat="1" applyFont="1" applyFill="1" applyBorder="1" applyAlignment="1">
      <alignment vertical="center"/>
    </xf>
    <xf numFmtId="3" fontId="9" fillId="0" borderId="16" xfId="4" applyNumberFormat="1" applyFont="1" applyFill="1" applyBorder="1" applyAlignment="1">
      <alignment horizontal="center"/>
    </xf>
    <xf numFmtId="3" fontId="9" fillId="0" borderId="50" xfId="4" applyNumberFormat="1" applyFont="1" applyFill="1" applyBorder="1" applyAlignment="1">
      <alignment horizontal="center"/>
    </xf>
    <xf numFmtId="0" fontId="0" fillId="7" borderId="0" xfId="0" applyNumberFormat="1" applyFont="1" applyFill="1" applyBorder="1"/>
    <xf numFmtId="0" fontId="31" fillId="0" borderId="0" xfId="0" applyNumberFormat="1" applyFont="1" applyFill="1" applyBorder="1"/>
    <xf numFmtId="168" fontId="17" fillId="2" borderId="46" xfId="1" applyNumberFormat="1" applyFont="1" applyFill="1" applyBorder="1" applyAlignment="1">
      <alignment horizontal="right" vertical="center"/>
    </xf>
    <xf numFmtId="169" fontId="17" fillId="2" borderId="46" xfId="1" applyNumberFormat="1" applyFont="1" applyFill="1" applyBorder="1" applyAlignment="1">
      <alignment horizontal="right" vertical="center"/>
    </xf>
    <xf numFmtId="166" fontId="17" fillId="2" borderId="46" xfId="3" applyNumberFormat="1" applyFont="1" applyFill="1" applyBorder="1" applyAlignment="1">
      <alignment horizontal="right" vertical="center"/>
    </xf>
    <xf numFmtId="9" fontId="17" fillId="2" borderId="46" xfId="3" applyNumberFormat="1" applyFont="1" applyFill="1" applyBorder="1" applyAlignment="1">
      <alignment horizontal="right" vertical="center"/>
    </xf>
    <xf numFmtId="0" fontId="2" fillId="0" borderId="0" xfId="0" applyNumberFormat="1" applyFont="1" applyFill="1" applyBorder="1"/>
    <xf numFmtId="0" fontId="0" fillId="0" borderId="6" xfId="0" applyNumberFormat="1" applyFont="1" applyFill="1" applyBorder="1"/>
    <xf numFmtId="0" fontId="17" fillId="5" borderId="40" xfId="3" applyNumberFormat="1" applyFont="1" applyFill="1" applyBorder="1"/>
    <xf numFmtId="0" fontId="17" fillId="5" borderId="42" xfId="3" applyNumberFormat="1" applyFont="1" applyFill="1" applyBorder="1"/>
    <xf numFmtId="0" fontId="15" fillId="0" borderId="0" xfId="0" applyNumberFormat="1" applyFont="1" applyFill="1" applyBorder="1" applyAlignment="1">
      <alignment horizontal="center" vertical="center"/>
    </xf>
    <xf numFmtId="0" fontId="0" fillId="0" borderId="7" xfId="0" applyNumberFormat="1" applyFont="1" applyFill="1" applyBorder="1"/>
    <xf numFmtId="0" fontId="0" fillId="0" borderId="0" xfId="0" applyNumberFormat="1" applyFont="1" applyFill="1" applyBorder="1"/>
    <xf numFmtId="0" fontId="11" fillId="8" borderId="46" xfId="3" applyNumberFormat="1" applyFont="1" applyFill="1" applyBorder="1"/>
    <xf numFmtId="0" fontId="10" fillId="8" borderId="46" xfId="3" applyNumberFormat="1" applyFont="1" applyFill="1" applyBorder="1"/>
    <xf numFmtId="0" fontId="3" fillId="0" borderId="0" xfId="3" applyNumberFormat="1" applyFont="1" applyFill="1" applyBorder="1"/>
    <xf numFmtId="0" fontId="9" fillId="0" borderId="0" xfId="3" applyNumberFormat="1" applyFont="1" applyFill="1" applyBorder="1"/>
    <xf numFmtId="0" fontId="0" fillId="0" borderId="8" xfId="0" applyNumberFormat="1" applyFont="1" applyFill="1" applyBorder="1"/>
    <xf numFmtId="0" fontId="3" fillId="0" borderId="9" xfId="3" applyNumberFormat="1" applyFont="1" applyFill="1" applyBorder="1"/>
    <xf numFmtId="0" fontId="9" fillId="0" borderId="9" xfId="3" applyNumberFormat="1" applyFont="1" applyFill="1" applyBorder="1"/>
    <xf numFmtId="0" fontId="0" fillId="0" borderId="10" xfId="0" applyNumberFormat="1" applyFont="1" applyFill="1" applyBorder="1"/>
    <xf numFmtId="0" fontId="17" fillId="2" borderId="40" xfId="3" applyNumberFormat="1" applyFont="1" applyFill="1" applyBorder="1"/>
    <xf numFmtId="0" fontId="17" fillId="2" borderId="42" xfId="3" applyNumberFormat="1" applyFont="1" applyFill="1" applyBorder="1"/>
    <xf numFmtId="0" fontId="15" fillId="2" borderId="0" xfId="0" applyNumberFormat="1" applyFont="1" applyFill="1" applyBorder="1" applyAlignment="1">
      <alignment horizontal="center" vertical="center"/>
    </xf>
    <xf numFmtId="0" fontId="0" fillId="7" borderId="0" xfId="0" applyNumberFormat="1" applyFont="1" applyFill="1" applyBorder="1" applyAlignment="1">
      <alignment horizontal="center"/>
    </xf>
    <xf numFmtId="0" fontId="0" fillId="7" borderId="0" xfId="0" applyNumberFormat="1" applyFont="1" applyFill="1" applyBorder="1"/>
    <xf numFmtId="0" fontId="31" fillId="7" borderId="0" xfId="0" applyNumberFormat="1" applyFont="1" applyFill="1" applyBorder="1"/>
    <xf numFmtId="0" fontId="0" fillId="0" borderId="0" xfId="0" applyNumberFormat="1" applyFont="1" applyFill="1" applyBorder="1" applyAlignment="1">
      <alignment horizontal="left"/>
    </xf>
    <xf numFmtId="0" fontId="0" fillId="0" borderId="0" xfId="0" applyNumberFormat="1" applyFont="1" applyFill="1" applyBorder="1" applyAlignment="1">
      <alignment horizontal="center"/>
    </xf>
    <xf numFmtId="14" fontId="0" fillId="0" borderId="0" xfId="0" applyNumberFormat="1" applyFont="1" applyFill="1" applyBorder="1"/>
    <xf numFmtId="0" fontId="16" fillId="8" borderId="45" xfId="3" applyNumberFormat="1" applyFont="1" applyFill="1" applyBorder="1" applyAlignment="1">
      <alignment horizontal="center" vertical="center" wrapText="1"/>
    </xf>
    <xf numFmtId="166" fontId="3" fillId="0" borderId="0" xfId="3" applyNumberFormat="1" applyFont="1" applyFill="1" applyBorder="1"/>
    <xf numFmtId="9" fontId="0" fillId="0" borderId="0" xfId="0" applyNumberFormat="1" applyFont="1" applyFill="1" applyBorder="1"/>
    <xf numFmtId="0" fontId="9" fillId="0" borderId="53" xfId="4" applyNumberFormat="1" applyFont="1" applyFill="1" applyBorder="1"/>
    <xf numFmtId="3" fontId="9" fillId="0" borderId="16" xfId="3" applyNumberFormat="1" applyFont="1" applyFill="1" applyBorder="1" applyAlignment="1">
      <alignment horizontal="center" vertical="center"/>
    </xf>
    <xf numFmtId="2" fontId="9" fillId="0" borderId="17" xfId="3" applyNumberFormat="1" applyFont="1" applyFill="1" applyBorder="1" applyAlignment="1">
      <alignment horizontal="center" vertical="center"/>
    </xf>
    <xf numFmtId="9" fontId="9" fillId="5" borderId="17" xfId="8" applyNumberFormat="1" applyFont="1" applyFill="1" applyBorder="1" applyAlignment="1">
      <alignment horizontal="center"/>
    </xf>
    <xf numFmtId="0" fontId="9" fillId="0" borderId="20" xfId="3" applyNumberFormat="1" applyFont="1" applyFill="1" applyBorder="1" applyAlignment="1">
      <alignment horizontal="center" vertical="center"/>
    </xf>
    <xf numFmtId="3" fontId="9" fillId="0" borderId="22" xfId="3" applyNumberFormat="1" applyFont="1" applyFill="1" applyBorder="1" applyAlignment="1">
      <alignment horizontal="center" vertical="center"/>
    </xf>
    <xf numFmtId="2" fontId="9" fillId="0" borderId="23" xfId="3" applyNumberFormat="1" applyFont="1" applyFill="1" applyBorder="1" applyAlignment="1">
      <alignment horizontal="center" vertical="center"/>
    </xf>
    <xf numFmtId="9" fontId="9" fillId="5" borderId="23" xfId="8" applyNumberFormat="1" applyFont="1" applyFill="1" applyBorder="1" applyAlignment="1">
      <alignment horizontal="center"/>
    </xf>
    <xf numFmtId="0" fontId="9" fillId="0" borderId="0" xfId="3" applyNumberFormat="1" applyFont="1" applyFill="1" applyBorder="1" applyAlignment="1">
      <alignment horizontal="center"/>
    </xf>
    <xf numFmtId="0" fontId="14" fillId="8" borderId="46" xfId="3" applyNumberFormat="1" applyFont="1" applyFill="1" applyBorder="1" applyAlignment="1">
      <alignment horizontal="center" vertical="center" wrapText="1"/>
    </xf>
    <xf numFmtId="0" fontId="14" fillId="8" borderId="43" xfId="3" applyNumberFormat="1" applyFont="1" applyFill="1" applyBorder="1" applyAlignment="1">
      <alignment horizontal="center" vertical="center" wrapText="1"/>
    </xf>
    <xf numFmtId="168" fontId="10" fillId="8" borderId="46" xfId="3" applyNumberFormat="1" applyFont="1" applyFill="1" applyBorder="1" applyAlignment="1">
      <alignment horizontal="right" vertical="center"/>
    </xf>
    <xf numFmtId="0" fontId="2" fillId="0" borderId="0" xfId="0" applyNumberFormat="1" applyFont="1" applyFill="1" applyBorder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13" fillId="0" borderId="0" xfId="3" applyNumberFormat="1" applyFont="1" applyFill="1" applyBorder="1" applyAlignment="1">
      <alignment horizontal="center"/>
    </xf>
    <xf numFmtId="9" fontId="17" fillId="5" borderId="46" xfId="3" applyNumberFormat="1" applyFont="1" applyFill="1" applyBorder="1" applyAlignment="1">
      <alignment horizontal="center" vertical="center"/>
    </xf>
    <xf numFmtId="9" fontId="17" fillId="2" borderId="46" xfId="3" applyNumberFormat="1" applyFont="1" applyFill="1" applyBorder="1" applyAlignment="1">
      <alignment horizontal="center" vertical="center"/>
    </xf>
    <xf numFmtId="9" fontId="10" fillId="8" borderId="46" xfId="3" applyNumberFormat="1" applyFont="1" applyFill="1" applyBorder="1" applyAlignment="1">
      <alignment horizontal="center" vertical="center"/>
    </xf>
    <xf numFmtId="0" fontId="3" fillId="0" borderId="0" xfId="3" applyNumberFormat="1" applyFont="1" applyFill="1" applyBorder="1" applyAlignment="1">
      <alignment horizontal="center"/>
    </xf>
    <xf numFmtId="0" fontId="3" fillId="0" borderId="9" xfId="3" applyNumberFormat="1" applyFont="1" applyFill="1" applyBorder="1" applyAlignment="1">
      <alignment horizontal="center"/>
    </xf>
    <xf numFmtId="166" fontId="0" fillId="0" borderId="0" xfId="0" applyNumberFormat="1" applyFont="1" applyFill="1" applyBorder="1" applyAlignment="1">
      <alignment horizontal="center"/>
    </xf>
    <xf numFmtId="0" fontId="3" fillId="0" borderId="0" xfId="3" applyNumberFormat="1" applyFont="1" applyFill="1" applyBorder="1" applyAlignment="1">
      <alignment horizontal="center"/>
    </xf>
    <xf numFmtId="0" fontId="11" fillId="8" borderId="21" xfId="3" applyNumberFormat="1" applyFont="1" applyFill="1" applyBorder="1" applyAlignment="1">
      <alignment horizontal="center" vertical="center"/>
    </xf>
    <xf numFmtId="3" fontId="11" fillId="8" borderId="21" xfId="3" applyNumberFormat="1" applyFont="1" applyFill="1" applyBorder="1" applyAlignment="1">
      <alignment horizontal="center" vertical="center"/>
    </xf>
    <xf numFmtId="2" fontId="11" fillId="8" borderId="21" xfId="3" applyNumberFormat="1" applyFont="1" applyFill="1" applyBorder="1" applyAlignment="1">
      <alignment horizontal="center" vertical="center"/>
    </xf>
    <xf numFmtId="0" fontId="10" fillId="8" borderId="21" xfId="3" applyNumberFormat="1" applyFont="1" applyFill="1" applyBorder="1" applyAlignment="1">
      <alignment horizontal="center" vertical="center"/>
    </xf>
    <xf numFmtId="0" fontId="11" fillId="8" borderId="2" xfId="4" applyNumberFormat="1" applyFont="1" applyFill="1" applyBorder="1" applyAlignment="1">
      <alignment horizontal="left" vertical="center"/>
    </xf>
    <xf numFmtId="3" fontId="11" fillId="8" borderId="55" xfId="4" applyNumberFormat="1" applyFont="1" applyFill="1" applyBorder="1" applyAlignment="1">
      <alignment horizontal="center"/>
    </xf>
    <xf numFmtId="0" fontId="11" fillId="8" borderId="55" xfId="4" applyNumberFormat="1" applyFont="1" applyFill="1" applyBorder="1" applyAlignment="1">
      <alignment horizontal="center"/>
    </xf>
    <xf numFmtId="9" fontId="11" fillId="8" borderId="19" xfId="4" applyNumberFormat="1" applyFont="1" applyFill="1" applyBorder="1" applyAlignment="1">
      <alignment horizontal="center"/>
    </xf>
    <xf numFmtId="0" fontId="36" fillId="0" borderId="0" xfId="0" applyNumberFormat="1" applyFont="1" applyFill="1" applyBorder="1" applyAlignment="1">
      <alignment horizontal="center" vertical="center" wrapText="1"/>
    </xf>
    <xf numFmtId="1" fontId="32" fillId="0" borderId="11" xfId="6" applyNumberFormat="1" applyFont="1" applyFill="1" applyBorder="1" applyAlignment="1">
      <alignment horizontal="left" vertical="center" wrapText="1"/>
    </xf>
    <xf numFmtId="1" fontId="32" fillId="0" borderId="12" xfId="6" applyNumberFormat="1" applyFont="1" applyFill="1" applyBorder="1" applyAlignment="1">
      <alignment horizontal="left" vertical="center" wrapText="1"/>
    </xf>
    <xf numFmtId="1" fontId="32" fillId="0" borderId="13" xfId="6" applyNumberFormat="1" applyFont="1" applyFill="1" applyBorder="1" applyAlignment="1">
      <alignment horizontal="left" vertical="center" wrapText="1"/>
    </xf>
    <xf numFmtId="0" fontId="9" fillId="2" borderId="0" xfId="6" applyNumberFormat="1" applyFont="1" applyFill="1" applyBorder="1" applyAlignment="1">
      <alignment horizontal="left" wrapText="1"/>
    </xf>
    <xf numFmtId="0" fontId="44" fillId="2" borderId="0" xfId="6" applyNumberFormat="1" applyFont="1" applyFill="1" applyBorder="1" applyAlignment="1">
      <alignment horizontal="left" wrapText="1"/>
    </xf>
    <xf numFmtId="0" fontId="51" fillId="8" borderId="47" xfId="0" applyNumberFormat="1" applyFont="1" applyFill="1" applyBorder="1" applyAlignment="1">
      <alignment horizontal="center" vertical="center"/>
    </xf>
    <xf numFmtId="0" fontId="51" fillId="8" borderId="48" xfId="0" applyNumberFormat="1" applyFont="1" applyFill="1" applyBorder="1" applyAlignment="1">
      <alignment horizontal="center" vertical="center"/>
    </xf>
    <xf numFmtId="0" fontId="24" fillId="8" borderId="47" xfId="0" applyNumberFormat="1" applyFont="1" applyFill="1" applyBorder="1" applyAlignment="1">
      <alignment horizontal="center" vertical="center"/>
    </xf>
    <xf numFmtId="0" fontId="24" fillId="8" borderId="49" xfId="0" applyNumberFormat="1" applyFont="1" applyFill="1" applyBorder="1" applyAlignment="1">
      <alignment horizontal="center" vertical="center"/>
    </xf>
    <xf numFmtId="0" fontId="12" fillId="0" borderId="31" xfId="3" applyNumberFormat="1" applyFont="1" applyFill="1" applyBorder="1" applyAlignment="1">
      <alignment horizontal="center" vertical="center"/>
    </xf>
    <xf numFmtId="0" fontId="12" fillId="0" borderId="32" xfId="3" applyNumberFormat="1" applyFont="1" applyFill="1" applyBorder="1" applyAlignment="1">
      <alignment horizontal="center" vertical="center"/>
    </xf>
    <xf numFmtId="0" fontId="12" fillId="0" borderId="33" xfId="3" applyNumberFormat="1" applyFont="1" applyFill="1" applyBorder="1" applyAlignment="1">
      <alignment horizontal="center" vertical="center"/>
    </xf>
    <xf numFmtId="0" fontId="12" fillId="0" borderId="34" xfId="3" applyNumberFormat="1" applyFont="1" applyFill="1" applyBorder="1" applyAlignment="1">
      <alignment horizontal="center" vertical="center"/>
    </xf>
    <xf numFmtId="0" fontId="12" fillId="0" borderId="0" xfId="3" applyNumberFormat="1" applyFont="1" applyFill="1" applyBorder="1" applyAlignment="1">
      <alignment horizontal="center" vertical="center"/>
    </xf>
    <xf numFmtId="0" fontId="12" fillId="0" borderId="35" xfId="3" applyNumberFormat="1" applyFont="1" applyFill="1" applyBorder="1" applyAlignment="1">
      <alignment horizontal="center" vertical="center"/>
    </xf>
    <xf numFmtId="0" fontId="12" fillId="0" borderId="36" xfId="3" applyNumberFormat="1" applyFont="1" applyFill="1" applyBorder="1" applyAlignment="1">
      <alignment horizontal="center" vertical="center"/>
    </xf>
    <xf numFmtId="0" fontId="12" fillId="0" borderId="37" xfId="3" applyNumberFormat="1" applyFont="1" applyFill="1" applyBorder="1" applyAlignment="1">
      <alignment horizontal="center" vertical="center"/>
    </xf>
    <xf numFmtId="0" fontId="12" fillId="0" borderId="38" xfId="3" applyNumberFormat="1" applyFont="1" applyFill="1" applyBorder="1" applyAlignment="1">
      <alignment horizontal="center" vertical="center"/>
    </xf>
    <xf numFmtId="0" fontId="14" fillId="8" borderId="40" xfId="3" applyNumberFormat="1" applyFont="1" applyFill="1" applyBorder="1" applyAlignment="1">
      <alignment horizontal="center"/>
    </xf>
    <xf numFmtId="0" fontId="14" fillId="8" borderId="41" xfId="3" applyNumberFormat="1" applyFont="1" applyFill="1" applyBorder="1" applyAlignment="1">
      <alignment horizontal="center"/>
    </xf>
    <xf numFmtId="0" fontId="14" fillId="8" borderId="42" xfId="3" applyNumberFormat="1" applyFont="1" applyFill="1" applyBorder="1" applyAlignment="1">
      <alignment horizontal="center"/>
    </xf>
    <xf numFmtId="0" fontId="14" fillId="8" borderId="40" xfId="3" applyNumberFormat="1" applyFont="1" applyFill="1" applyBorder="1" applyAlignment="1">
      <alignment horizontal="center" vertical="center" wrapText="1"/>
    </xf>
    <xf numFmtId="0" fontId="14" fillId="8" borderId="41" xfId="3" applyNumberFormat="1" applyFont="1" applyFill="1" applyBorder="1" applyAlignment="1">
      <alignment horizontal="center" vertical="center" wrapText="1"/>
    </xf>
    <xf numFmtId="0" fontId="14" fillId="8" borderId="42" xfId="3" applyNumberFormat="1" applyFont="1" applyFill="1" applyBorder="1" applyAlignment="1">
      <alignment horizontal="center" vertical="center" wrapText="1"/>
    </xf>
    <xf numFmtId="0" fontId="49" fillId="0" borderId="0" xfId="0" applyNumberFormat="1" applyFont="1" applyFill="1" applyBorder="1" applyAlignment="1">
      <alignment horizontal="center" vertical="center"/>
    </xf>
    <xf numFmtId="0" fontId="49" fillId="2" borderId="0" xfId="0" applyNumberFormat="1" applyFont="1" applyFill="1" applyBorder="1" applyAlignment="1">
      <alignment horizontal="center" vertical="center"/>
    </xf>
  </cellXfs>
  <cellStyles count="10">
    <cellStyle name="Milliers" xfId="1" builtinId="3"/>
    <cellStyle name="Monétaire 2" xfId="2" xr:uid="{00000000-0005-0000-0000-000001000000}"/>
    <cellStyle name="Normal" xfId="0" builtinId="0"/>
    <cellStyle name="Normal 2" xfId="3" xr:uid="{00000000-0005-0000-0000-000003000000}"/>
    <cellStyle name="Normal 2 2" xfId="4" xr:uid="{00000000-0005-0000-0000-000004000000}"/>
    <cellStyle name="Normal 3" xfId="5" xr:uid="{00000000-0005-0000-0000-000005000000}"/>
    <cellStyle name="Normal 4" xfId="6" xr:uid="{00000000-0005-0000-0000-000006000000}"/>
    <cellStyle name="Normal_Book 2004 feuille sommaire 2" xfId="7" xr:uid="{00000000-0005-0000-0000-000007000000}"/>
    <cellStyle name="Pourcentage" xfId="8" builtinId="5"/>
    <cellStyle name="Pourcentage 2" xfId="9" xr:uid="{00000000-0005-0000-0000-000009000000}"/>
  </cellStyles>
  <dxfs count="0"/>
  <tableStyles count="0" defaultTableStyle="TableStyleMedium2" defaultPivotStyle="PivotStyleLight16"/>
  <colors>
    <mruColors>
      <color rgb="FF4FACBE"/>
      <color rgb="FFA6A6A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'Evolution effectifs'!$E$14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'Evolution effectifs'!$C$16:$C$19</c:f>
              <c:strCache>
                <c:ptCount val="4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  <c:pt idx="3">
                  <c:v>Total général</c:v>
                </c:pt>
              </c:strCache>
            </c:strRef>
          </c:cat>
          <c:val>
            <c:numRef>
              <c:f>'Evolution effectifs'!$E$16:$E$19</c:f>
              <c:numCache>
                <c:formatCode>#,##0</c:formatCode>
                <c:ptCount val="4"/>
                <c:pt idx="0">
                  <c:v>2461</c:v>
                </c:pt>
                <c:pt idx="1">
                  <c:v>34</c:v>
                </c:pt>
                <c:pt idx="2">
                  <c:v>314</c:v>
                </c:pt>
                <c:pt idx="3">
                  <c:v>2809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33-4F35-81BF-F9DEAEA7D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744330560"/>
        <c:axId val="-1744326208"/>
      </c:barChart>
      <c:catAx>
        <c:axId val="-1744330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326208"/>
        <c:crosses val="autoZero"/>
        <c:auto val="1"/>
        <c:lblAlgn val="ctr"/>
        <c:lblOffset val="100"/>
        <c:noMultiLvlLbl val="0"/>
      </c:catAx>
      <c:valAx>
        <c:axId val="-174432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33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  <c:pt idx="0">
                  <c:v>9</c:v>
                </c:pt>
                <c:pt idx="1">
                  <c:v>53</c:v>
                </c:pt>
                <c:pt idx="2">
                  <c:v>74</c:v>
                </c:pt>
                <c:pt idx="3">
                  <c:v>27</c:v>
                </c:pt>
                <c:pt idx="4">
                  <c:v>16</c:v>
                </c:pt>
                <c:pt idx="5">
                  <c:v>21</c:v>
                </c:pt>
                <c:pt idx="6">
                  <c:v>12</c:v>
                </c:pt>
                <c:pt idx="7">
                  <c:v>11</c:v>
                </c:pt>
                <c:pt idx="8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8-4819-B642-2800E80D1BDE}"/>
            </c:ext>
          </c:extLst>
        </c:ser>
        <c:ser>
          <c:idx val="1"/>
          <c:order val="1"/>
          <c:tx>
            <c:strRef>
              <c:f>Démographie!$M$13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  <c:pt idx="0">
                  <c:v>58</c:v>
                </c:pt>
                <c:pt idx="1">
                  <c:v>287</c:v>
                </c:pt>
                <c:pt idx="2">
                  <c:v>322</c:v>
                </c:pt>
                <c:pt idx="3">
                  <c:v>310</c:v>
                </c:pt>
                <c:pt idx="4">
                  <c:v>243</c:v>
                </c:pt>
                <c:pt idx="5">
                  <c:v>236</c:v>
                </c:pt>
                <c:pt idx="6">
                  <c:v>283</c:v>
                </c:pt>
                <c:pt idx="7">
                  <c:v>249</c:v>
                </c:pt>
                <c:pt idx="8">
                  <c:v>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8-4819-B642-2800E80D1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-1744313152"/>
        <c:axId val="-1744308256"/>
      </c:barChart>
      <c:catAx>
        <c:axId val="-17443131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-1744308256"/>
        <c:crosses val="autoZero"/>
        <c:auto val="1"/>
        <c:lblAlgn val="ctr"/>
        <c:lblOffset val="100"/>
        <c:noMultiLvlLbl val="0"/>
      </c:catAx>
      <c:valAx>
        <c:axId val="-1744308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31315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Démographie!$F$13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70AD47">
                <a:lumMod val="40000"/>
                <a:lumOff val="60000"/>
              </a:srgbClr>
            </a:solidFill>
          </c:spPr>
          <c:explosion val="16"/>
          <c:dPt>
            <c:idx val="1"/>
            <c:bubble3D val="0"/>
            <c:spPr>
              <a:solidFill>
                <a:srgbClr val="E7E6E6">
                  <a:lumMod val="75000"/>
                </a:srgbClr>
              </a:solidFill>
            </c:spPr>
            <c:extLst>
              <c:ext xmlns:c16="http://schemas.microsoft.com/office/drawing/2014/chart" uri="{C3380CC4-5D6E-409C-BE32-E72D297353CC}">
                <c16:uniqueId val="{00000001-1A05-469C-ADA1-9DC4659617D1}"/>
              </c:ext>
            </c:extLst>
          </c:dPt>
          <c:cat>
            <c:strRef>
              <c:f>Démographie!$C$14:$C$15</c:f>
              <c:strCache>
                <c:ptCount val="2"/>
                <c:pt idx="0">
                  <c:v>Masculin</c:v>
                </c:pt>
                <c:pt idx="1">
                  <c:v>Féminin</c:v>
                </c:pt>
              </c:strCache>
            </c:strRef>
          </c:cat>
          <c:val>
            <c:numRef>
              <c:f>Démographie!$F$14:$F$15</c:f>
              <c:numCache>
                <c:formatCode>#,##0</c:formatCode>
                <c:ptCount val="2"/>
                <c:pt idx="0">
                  <c:v>241</c:v>
                </c:pt>
                <c:pt idx="1">
                  <c:v>2220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05-469C-ADA1-9DC465961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20CB-48EC-A596-19BBE713ABD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20CB-48EC-A596-19BBE713ABDB}"/>
              </c:ext>
            </c:extLst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20CB-48EC-A596-19BBE713ABDB}"/>
              </c:ext>
            </c:extLst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CB-48EC-A596-19BBE713ABDB}"/>
                </c:ext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CB-48EC-A596-19BBE713ABD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  <c:pt idx="0">
                  <c:v>2461</c:v>
                </c:pt>
                <c:pt idx="1">
                  <c:v>34</c:v>
                </c:pt>
                <c:pt idx="2">
                  <c:v>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0CB-48EC-A596-19BBE713A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Graph'!$F$66</c:f>
              <c:strCache>
                <c:ptCount val="1"/>
                <c:pt idx="0">
                  <c:v>Vos prestations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5B9B-4785-94E6-4D17AC42C04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5B9B-4785-94E6-4D17AC42C048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5B9B-4785-94E6-4D17AC42C04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5B9B-4785-94E6-4D17AC42C048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5B9B-4785-94E6-4D17AC42C04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5B9B-4785-94E6-4D17AC42C048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5B9B-4785-94E6-4D17AC42C04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5B9B-4785-94E6-4D17AC42C04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5B9B-4785-94E6-4D17AC42C04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5B9B-4785-94E6-4D17AC42C04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5B9B-4785-94E6-4D17AC42C048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B9B-4785-94E6-4D17AC42C048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B9B-4785-94E6-4D17AC42C048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9B-4785-94E6-4D17AC42C048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B9B-4785-94E6-4D17AC42C048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B9B-4785-94E6-4D17AC42C048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B9B-4785-94E6-4D17AC42C048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B9B-4785-94E6-4D17AC42C04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Graph'!$F$67:$F$76</c:f>
              <c:numCache>
                <c:formatCode>General</c:formatCode>
                <c:ptCount val="10"/>
                <c:pt idx="0">
                  <c:v>-65691.029999999926</c:v>
                </c:pt>
                <c:pt idx="1">
                  <c:v>480</c:v>
                </c:pt>
                <c:pt idx="2">
                  <c:v>205060.53</c:v>
                </c:pt>
                <c:pt idx="3">
                  <c:v>117142.4899999998</c:v>
                </c:pt>
                <c:pt idx="4">
                  <c:v>12251.66</c:v>
                </c:pt>
                <c:pt idx="5">
                  <c:v>610.37</c:v>
                </c:pt>
                <c:pt idx="6">
                  <c:v>201930.92</c:v>
                </c:pt>
                <c:pt idx="7">
                  <c:v>100007.039999998</c:v>
                </c:pt>
                <c:pt idx="8">
                  <c:v>1229</c:v>
                </c:pt>
                <c:pt idx="9">
                  <c:v>279214.53999999241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B9B-4785-94E6-4D17AC42C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Graph'!$I$66</c:f>
              <c:strCache>
                <c:ptCount val="1"/>
                <c:pt idx="0">
                  <c:v>Remboursement SS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Graph'!$I$67:$I$76</c:f>
              <c:numCache>
                <c:formatCode>General</c:formatCode>
                <c:ptCount val="10"/>
                <c:pt idx="0">
                  <c:v>106754.17000000039</c:v>
                </c:pt>
                <c:pt idx="1">
                  <c:v>168</c:v>
                </c:pt>
                <c:pt idx="2">
                  <c:v>98010.459999999992</c:v>
                </c:pt>
                <c:pt idx="3">
                  <c:v>184693.14</c:v>
                </c:pt>
                <c:pt idx="4">
                  <c:v>680.38</c:v>
                </c:pt>
                <c:pt idx="5">
                  <c:v>207.49</c:v>
                </c:pt>
                <c:pt idx="6">
                  <c:v>434.86000000000098</c:v>
                </c:pt>
                <c:pt idx="7">
                  <c:v>130242.45000003801</c:v>
                </c:pt>
                <c:pt idx="8">
                  <c:v>0</c:v>
                </c:pt>
                <c:pt idx="9">
                  <c:v>442502.42000000284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6D-46E8-8001-F9BFE623B470}"/>
            </c:ext>
          </c:extLst>
        </c:ser>
        <c:ser>
          <c:idx val="1"/>
          <c:order val="1"/>
          <c:tx>
            <c:strRef>
              <c:f>'Prestations Réglées Graph'!$J$66</c:f>
              <c:strCache>
                <c:ptCount val="1"/>
                <c:pt idx="0">
                  <c:v>Remboursement Autres Régimes</c:v>
                </c:pt>
              </c:strCache>
            </c:strRef>
          </c:tx>
          <c:spPr>
            <a:solidFill>
              <a:sysClr val="window" lastClr="FFFFFF">
                <a:lumMod val="85000"/>
              </a:sys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Graph'!$J$67:$J$76</c:f>
              <c:numCache>
                <c:formatCode>General</c:formatCode>
                <c:ptCount val="10"/>
                <c:pt idx="0">
                  <c:v>136368.28</c:v>
                </c:pt>
                <c:pt idx="1">
                  <c:v>200</c:v>
                </c:pt>
                <c:pt idx="2">
                  <c:v>46218.18</c:v>
                </c:pt>
                <c:pt idx="3">
                  <c:v>2481.31</c:v>
                </c:pt>
                <c:pt idx="4">
                  <c:v>2468.16</c:v>
                </c:pt>
                <c:pt idx="5">
                  <c:v>168.78</c:v>
                </c:pt>
                <c:pt idx="6">
                  <c:v>43325.08</c:v>
                </c:pt>
                <c:pt idx="7">
                  <c:v>105.1</c:v>
                </c:pt>
                <c:pt idx="8">
                  <c:v>0</c:v>
                </c:pt>
                <c:pt idx="9">
                  <c:v>4257.05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6D-46E8-8001-F9BFE623B470}"/>
            </c:ext>
          </c:extLst>
        </c:ser>
        <c:ser>
          <c:idx val="2"/>
          <c:order val="2"/>
          <c:tx>
            <c:strRef>
              <c:f>'Prestations Réglées Graph'!$K$66</c:f>
              <c:strCache>
                <c:ptCount val="1"/>
                <c:pt idx="0">
                  <c:v>Remboursement KERIALIS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Graph'!$K$67:$K$76</c:f>
              <c:numCache>
                <c:formatCode>General</c:formatCode>
                <c:ptCount val="10"/>
                <c:pt idx="0">
                  <c:v>-65691.029999999926</c:v>
                </c:pt>
                <c:pt idx="1">
                  <c:v>480</c:v>
                </c:pt>
                <c:pt idx="2">
                  <c:v>205060.53</c:v>
                </c:pt>
                <c:pt idx="3">
                  <c:v>117142.4899999998</c:v>
                </c:pt>
                <c:pt idx="4">
                  <c:v>12251.66</c:v>
                </c:pt>
                <c:pt idx="5">
                  <c:v>610.37</c:v>
                </c:pt>
                <c:pt idx="6">
                  <c:v>201930.92</c:v>
                </c:pt>
                <c:pt idx="7">
                  <c:v>100007.039999998</c:v>
                </c:pt>
                <c:pt idx="8">
                  <c:v>1229</c:v>
                </c:pt>
                <c:pt idx="9">
                  <c:v>279214.53999999241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6D-46E8-8001-F9BFE623B470}"/>
            </c:ext>
          </c:extLst>
        </c:ser>
        <c:ser>
          <c:idx val="3"/>
          <c:order val="3"/>
          <c:tx>
            <c:strRef>
              <c:f>'Prestations Réglées Graph'!$L$66</c:f>
              <c:strCache>
                <c:ptCount val="1"/>
                <c:pt idx="0">
                  <c:v>Somme de Reste à charge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Graph'!$L$67:$L$76</c:f>
              <c:numCache>
                <c:formatCode>General</c:formatCode>
                <c:ptCount val="10"/>
                <c:pt idx="0">
                  <c:v>82700.339999998614</c:v>
                </c:pt>
                <c:pt idx="1">
                  <c:v>472</c:v>
                </c:pt>
                <c:pt idx="2">
                  <c:v>127499.61000000025</c:v>
                </c:pt>
                <c:pt idx="3">
                  <c:v>26454.550000001167</c:v>
                </c:pt>
                <c:pt idx="4">
                  <c:v>799.28000000000065</c:v>
                </c:pt>
                <c:pt idx="5">
                  <c:v>141.82000000000005</c:v>
                </c:pt>
                <c:pt idx="6">
                  <c:v>72883.949999999983</c:v>
                </c:pt>
                <c:pt idx="7">
                  <c:v>363.69999996498518</c:v>
                </c:pt>
                <c:pt idx="8">
                  <c:v>65</c:v>
                </c:pt>
                <c:pt idx="9">
                  <c:v>49117.939999993483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CC-4C09-A6BA-9841BFDEB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744303904"/>
        <c:axId val="-1744303360"/>
      </c:barChart>
      <c:catAx>
        <c:axId val="-17443039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-1744303360"/>
        <c:crosses val="autoZero"/>
        <c:auto val="1"/>
        <c:lblAlgn val="ctr"/>
        <c:lblOffset val="100"/>
        <c:noMultiLvlLbl val="0"/>
      </c:catAx>
      <c:valAx>
        <c:axId val="-1744303360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30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Graph'!$M$66</c:f>
              <c:strCache>
                <c:ptCount val="1"/>
                <c:pt idx="0">
                  <c:v>Vos prestations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Graph'!$M$67:$M$76</c:f>
              <c:numCache>
                <c:formatCode>General</c:formatCode>
                <c:ptCount val="10"/>
                <c:pt idx="0">
                  <c:v>-10.134376735575428</c:v>
                </c:pt>
                <c:pt idx="1">
                  <c:v>20</c:v>
                </c:pt>
                <c:pt idx="2">
                  <c:v>108.26849524815206</c:v>
                </c:pt>
                <c:pt idx="3">
                  <c:v>50.060893162393079</c:v>
                </c:pt>
                <c:pt idx="4">
                  <c:v>72.068588235294115</c:v>
                </c:pt>
                <c:pt idx="5">
                  <c:v>14.532619047619047</c:v>
                </c:pt>
                <c:pt idx="6">
                  <c:v>196.23996112730808</c:v>
                </c:pt>
                <c:pt idx="7">
                  <c:v>1.3620854784669172</c:v>
                </c:pt>
                <c:pt idx="8">
                  <c:v>34.138888888888886</c:v>
                </c:pt>
                <c:pt idx="9">
                  <c:v>8.539193222826853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CB-4C69-97B0-A6BCCE73F023}"/>
            </c:ext>
          </c:extLst>
        </c:ser>
        <c:ser>
          <c:idx val="1"/>
          <c:order val="1"/>
          <c:tx>
            <c:strRef>
              <c:f>'Prestations Réglées Graph'!$N$66</c:f>
              <c:strCache>
                <c:ptCount val="1"/>
                <c:pt idx="0">
                  <c:v>Notre expérience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Graph'!$N$67:$N$76</c:f>
              <c:numCache>
                <c:formatCode>General</c:formatCode>
                <c:ptCount val="10"/>
                <c:pt idx="0">
                  <c:v>-10.134376735575428</c:v>
                </c:pt>
                <c:pt idx="1">
                  <c:v>20</c:v>
                </c:pt>
                <c:pt idx="2">
                  <c:v>108.26849524815206</c:v>
                </c:pt>
                <c:pt idx="3">
                  <c:v>50.060893162393079</c:v>
                </c:pt>
                <c:pt idx="4">
                  <c:v>72.068588235294115</c:v>
                </c:pt>
                <c:pt idx="5">
                  <c:v>14.532619047619047</c:v>
                </c:pt>
                <c:pt idx="6">
                  <c:v>196.23996112730808</c:v>
                </c:pt>
                <c:pt idx="7">
                  <c:v>1.3620854784669172</c:v>
                </c:pt>
                <c:pt idx="8">
                  <c:v>34.138888888888886</c:v>
                </c:pt>
                <c:pt idx="9">
                  <c:v>8.539193222826853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CB-4C69-97B0-A6BCCE73F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744324576"/>
        <c:axId val="-1744300096"/>
      </c:barChart>
      <c:catAx>
        <c:axId val="-174432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300096"/>
        <c:crosses val="autoZero"/>
        <c:auto val="1"/>
        <c:lblAlgn val="ctr"/>
        <c:lblOffset val="100"/>
        <c:noMultiLvlLbl val="0"/>
      </c:catAx>
      <c:valAx>
        <c:axId val="-174430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32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Graph'!$G$66</c:f>
              <c:strCache>
                <c:ptCount val="1"/>
                <c:pt idx="0">
                  <c:v>Notre expérience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0AF-473A-B5F0-26F85E81E3EE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70AF-473A-B5F0-26F85E81E3EE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70AF-473A-B5F0-26F85E81E3EE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70AF-473A-B5F0-26F85E81E3EE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70AF-473A-B5F0-26F85E81E3EE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70AF-473A-B5F0-26F85E81E3EE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70AF-473A-B5F0-26F85E81E3EE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70AF-473A-B5F0-26F85E81E3EE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70AF-473A-B5F0-26F85E81E3EE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70AF-473A-B5F0-26F85E81E3EE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70AF-473A-B5F0-26F85E81E3EE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0AF-473A-B5F0-26F85E81E3EE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0AF-473A-B5F0-26F85E81E3EE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AF-473A-B5F0-26F85E81E3EE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AF-473A-B5F0-26F85E81E3EE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0AF-473A-B5F0-26F85E81E3EE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0AF-473A-B5F0-26F85E81E3EE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0AF-473A-B5F0-26F85E81E3E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Graph'!$G$67:$G$76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0AF-473A-B5F0-26F85E81E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Remboursement KERIALIS OPTIQUE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2.3048775639929648E-2"/>
          <c:y val="0.19486111111111112"/>
          <c:w val="0.96959892737512965"/>
          <c:h val="0.77174431321084869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'Prestations Réglées_OPTIQUE'!$J$16:$J$22</c:f>
              <c:numCache>
                <c:formatCode>#.##0\ "$"</c:formatCode>
                <c:ptCount val="7"/>
                <c:pt idx="0">
                  <c:v>2178.4</c:v>
                </c:pt>
                <c:pt idx="1">
                  <c:v>19737.38</c:v>
                </c:pt>
                <c:pt idx="2">
                  <c:v>514.20000000000005</c:v>
                </c:pt>
                <c:pt idx="3">
                  <c:v>172.74</c:v>
                </c:pt>
                <c:pt idx="4">
                  <c:v>152670.51</c:v>
                </c:pt>
                <c:pt idx="5">
                  <c:v>19273.259999999998</c:v>
                </c:pt>
                <c:pt idx="6">
                  <c:v>7384.43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'Prestations Réglées_OPTIQUE'!$D$16:$D$22</c15:sqref>
                        </c15:formulaRef>
                      </c:ext>
                    </c:extLst>
                    <c:strCache>
                      <c:ptCount val="7"/>
                      <c:pt idx="0">
                        <c:v>CHIRURGIE DE L'ŒIL</c:v>
                      </c:pt>
                      <c:pt idx="1">
                        <c:v>LENTILLES</c:v>
                      </c:pt>
                      <c:pt idx="2">
                        <c:v>LUNETTES</c:v>
                      </c:pt>
                      <c:pt idx="3">
                        <c:v>MONTURE</c:v>
                      </c:pt>
                      <c:pt idx="4">
                        <c:v>MONTURE + VERRES ADULTE</c:v>
                      </c:pt>
                      <c:pt idx="5">
                        <c:v>MONTURE + VERRES ENFANT</c:v>
                      </c:pt>
                      <c:pt idx="6">
                        <c:v>VERRES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D28-4D62-B579-ED958E4618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744296832"/>
        <c:axId val="-1744330016"/>
      </c:lineChart>
      <c:catAx>
        <c:axId val="-174429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330016"/>
        <c:crosses val="autoZero"/>
        <c:auto val="1"/>
        <c:lblAlgn val="ctr"/>
        <c:lblOffset val="100"/>
        <c:noMultiLvlLbl val="0"/>
      </c:catAx>
      <c:valAx>
        <c:axId val="-174433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.##0\ &quot;$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296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Remboursement KERIALIS  DENTAITE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'Prestations Réglées_DENTAIRE'!$J$16:$J$38</c:f>
              <c:numCache>
                <c:formatCode>#.##0\ "$"</c:formatCode>
                <c:ptCount val="23"/>
                <c:pt idx="0">
                  <c:v>2581.4899999999998</c:v>
                </c:pt>
                <c:pt idx="1">
                  <c:v>1669</c:v>
                </c:pt>
                <c:pt idx="2">
                  <c:v>2020</c:v>
                </c:pt>
                <c:pt idx="3">
                  <c:v>4272</c:v>
                </c:pt>
                <c:pt idx="4">
                  <c:v>2028</c:v>
                </c:pt>
                <c:pt idx="5">
                  <c:v>2329.35</c:v>
                </c:pt>
                <c:pt idx="6">
                  <c:v>30649</c:v>
                </c:pt>
                <c:pt idx="7">
                  <c:v>4126</c:v>
                </c:pt>
                <c:pt idx="8">
                  <c:v>5040</c:v>
                </c:pt>
                <c:pt idx="9">
                  <c:v>1300</c:v>
                </c:pt>
                <c:pt idx="10">
                  <c:v>48128.41</c:v>
                </c:pt>
                <c:pt idx="11">
                  <c:v>1230</c:v>
                </c:pt>
                <c:pt idx="12">
                  <c:v>3054.32</c:v>
                </c:pt>
                <c:pt idx="13">
                  <c:v>602.5</c:v>
                </c:pt>
                <c:pt idx="14">
                  <c:v>1082.32</c:v>
                </c:pt>
                <c:pt idx="15">
                  <c:v>4426.18</c:v>
                </c:pt>
                <c:pt idx="16">
                  <c:v>31957.49</c:v>
                </c:pt>
                <c:pt idx="17">
                  <c:v>2528.35</c:v>
                </c:pt>
                <c:pt idx="18">
                  <c:v>12085.35</c:v>
                </c:pt>
                <c:pt idx="19">
                  <c:v>16369.15</c:v>
                </c:pt>
                <c:pt idx="20">
                  <c:v>18446.400000000001</c:v>
                </c:pt>
                <c:pt idx="21">
                  <c:v>161.80000000000001</c:v>
                </c:pt>
                <c:pt idx="22">
                  <c:v>8973.42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'Prestations Réglées_DENTAIRE'!$D$16:$D$38</c15:sqref>
                        </c15:formulaRef>
                      </c:ext>
                    </c:extLst>
                    <c:strCache>
                      <c:ptCount val="23"/>
                      <c:pt idx="0">
                        <c:v>ACTES D'ENDODONTIE</c:v>
                      </c:pt>
                      <c:pt idx="1">
                        <c:v>COURONNE TRANSITOIRE RAC 0</c:v>
                      </c:pt>
                      <c:pt idx="2">
                        <c:v>COURONNE TRANSITOIRE TARIF LIBRE</c:v>
                      </c:pt>
                      <c:pt idx="3">
                        <c:v>COURONNE ZIRCONE RAC 0</c:v>
                      </c:pt>
                      <c:pt idx="4">
                        <c:v>COURONNE ZIRCONE RAC MODERE</c:v>
                      </c:pt>
                      <c:pt idx="5">
                        <c:v>DENTAIRE</c:v>
                      </c:pt>
                      <c:pt idx="6">
                        <c:v>IMPLANTOLOGIE (YC COURONNE/IMPLANT)</c:v>
                      </c:pt>
                      <c:pt idx="7">
                        <c:v>INLAY CORE RAC  MODERE</c:v>
                      </c:pt>
                      <c:pt idx="8">
                        <c:v>INLAY CORE RAC 0</c:v>
                      </c:pt>
                      <c:pt idx="9">
                        <c:v>INLAY ONLAY RAC MODERE</c:v>
                      </c:pt>
                      <c:pt idx="10">
                        <c:v>ORTHODONTIE ACCEPTEE</c:v>
                      </c:pt>
                      <c:pt idx="11">
                        <c:v>ORTHODONTIE REFUSEE</c:v>
                      </c:pt>
                      <c:pt idx="12">
                        <c:v>PARODONTOLOGIE (TISSUS SOUTIEN DENT</c:v>
                      </c:pt>
                      <c:pt idx="13">
                        <c:v>PROTH. AMOVIBLE DE TRANSITION RAC 0</c:v>
                      </c:pt>
                      <c:pt idx="14">
                        <c:v>PROTHESE AMOVIBLE RAC 0</c:v>
                      </c:pt>
                      <c:pt idx="15">
                        <c:v>PROTHESE AMOVIBLE RAC MODERE</c:v>
                      </c:pt>
                      <c:pt idx="16">
                        <c:v>PROTHESE FIXE CERAMIQUE TARIF LIBRE</c:v>
                      </c:pt>
                      <c:pt idx="17">
                        <c:v>PROTHESE FIXE METALLIQUE RAC0</c:v>
                      </c:pt>
                      <c:pt idx="18">
                        <c:v>PROTHESE FIXE RAC 0</c:v>
                      </c:pt>
                      <c:pt idx="19">
                        <c:v>PROTHESE FIXE RAC MODERE</c:v>
                      </c:pt>
                      <c:pt idx="20">
                        <c:v>PROTHESES DENTAIRES ACCEPTEES</c:v>
                      </c:pt>
                      <c:pt idx="21">
                        <c:v>REPARATION PROTHESE RAC MODERE</c:v>
                      </c:pt>
                      <c:pt idx="22">
                        <c:v>SOINS DENTAIRES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FBBC-484C-8705-5ACF7E24F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744324032"/>
        <c:axId val="-1744323488"/>
      </c:lineChart>
      <c:catAx>
        <c:axId val="-1744324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323488"/>
        <c:crosses val="autoZero"/>
        <c:auto val="1"/>
        <c:lblAlgn val="ctr"/>
        <c:lblOffset val="100"/>
        <c:noMultiLvlLbl val="0"/>
      </c:catAx>
      <c:valAx>
        <c:axId val="-174432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.##0\ &quot;$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32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jpg"/><Relationship Id="rId4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1228725</xdr:colOff>
      <xdr:row>1</xdr:row>
      <xdr:rowOff>123825</xdr:rowOff>
    </xdr:from>
    <xdr:to>
      <xdr:col>18</xdr:col>
      <xdr:colOff>47625</xdr:colOff>
      <xdr:row>4</xdr:row>
      <xdr:rowOff>85725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314325"/>
          <a:ext cx="530678" cy="5306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927847</xdr:colOff>
      <xdr:row>2</xdr:row>
      <xdr:rowOff>12327</xdr:rowOff>
    </xdr:from>
    <xdr:to>
      <xdr:col>11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9922" y="393327"/>
          <a:ext cx="530678" cy="530678"/>
        </a:xfrm>
        <a:prstGeom prst="rect">
          <a:avLst/>
        </a:prstGeom>
      </xdr:spPr>
    </xdr:pic>
    <xdr:clientData/>
  </xdr:twoCellAnchor>
  <xdr:twoCellAnchor>
    <xdr:from>
      <xdr:col>2</xdr:col>
      <xdr:colOff>1664073</xdr:colOff>
      <xdr:row>23</xdr:row>
      <xdr:rowOff>62753</xdr:rowOff>
    </xdr:from>
    <xdr:to>
      <xdr:col>7</xdr:col>
      <xdr:colOff>0</xdr:colOff>
      <xdr:row>41</xdr:row>
      <xdr:rowOff>56029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1133475</xdr:colOff>
      <xdr:row>11</xdr:row>
      <xdr:rowOff>86285</xdr:rowOff>
    </xdr:from>
    <xdr:to>
      <xdr:col>15</xdr:col>
      <xdr:colOff>752476</xdr:colOff>
      <xdr:row>28</xdr:row>
      <xdr:rowOff>6725</xdr:rowOff>
    </xdr:to>
    <xdr:graphicFrame macro="">
      <xdr:nvGraphicFramePr>
        <xdr:cNvPr id="3" name="demo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29</xdr:row>
      <xdr:rowOff>100853</xdr:rowOff>
    </xdr:to>
    <xdr:graphicFrame macro="">
      <xdr:nvGraphicFramePr>
        <xdr:cNvPr id="4" name="Demo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266700</xdr:colOff>
      <xdr:row>2</xdr:row>
      <xdr:rowOff>9525</xdr:rowOff>
    </xdr:from>
    <xdr:to>
      <xdr:col>16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96950" y="390525"/>
          <a:ext cx="530678" cy="53067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0" y="390525"/>
          <a:ext cx="530678" cy="530678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3" name="Prest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4" name="Prest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5" name="Prest3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6" name="Prest4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942975</xdr:colOff>
      <xdr:row>2</xdr:row>
      <xdr:rowOff>57150</xdr:rowOff>
    </xdr:from>
    <xdr:to>
      <xdr:col>18</xdr:col>
      <xdr:colOff>47625</xdr:colOff>
      <xdr:row>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438150"/>
          <a:ext cx="530678" cy="53067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9227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88445</xdr:colOff>
      <xdr:row>36</xdr:row>
      <xdr:rowOff>50346</xdr:rowOff>
    </xdr:from>
    <xdr:to>
      <xdr:col>17</xdr:col>
      <xdr:colOff>272143</xdr:colOff>
      <xdr:row>52</xdr:row>
      <xdr:rowOff>17318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9227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6803</xdr:colOff>
      <xdr:row>48</xdr:row>
      <xdr:rowOff>23131</xdr:rowOff>
    </xdr:from>
    <xdr:to>
      <xdr:col>18</xdr:col>
      <xdr:colOff>13607</xdr:colOff>
      <xdr:row>74</xdr:row>
      <xdr:rowOff>163285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</sheetPr>
  <dimension ref="A1:AE41"/>
  <sheetViews>
    <sheetView showGridLines="0" zoomScale="70" zoomScaleNormal="70" workbookViewId="0">
      <selection activeCell="V13" sqref="V13"/>
    </sheetView>
  </sheetViews>
  <sheetFormatPr baseColWidth="10" defaultColWidth="11.42578125" defaultRowHeight="15"/>
  <cols>
    <col min="1" max="1" width="2.85546875" style="121" customWidth="1"/>
    <col min="2" max="2" width="4.28515625" style="121" customWidth="1"/>
    <col min="3" max="3" width="11.42578125" style="121" customWidth="1"/>
    <col min="4" max="4" width="13.7109375" style="121" customWidth="1"/>
    <col min="5" max="9" width="11.42578125" style="121" customWidth="1"/>
    <col min="10" max="11" width="22.85546875" style="121" customWidth="1"/>
    <col min="12" max="18" width="11.42578125" style="121" customWidth="1"/>
    <col min="19" max="19" width="4.28515625" style="121" customWidth="1"/>
    <col min="20" max="20" width="2.85546875" style="121" customWidth="1"/>
    <col min="21" max="26" width="11.42578125" style="121" customWidth="1"/>
    <col min="27" max="16384" width="11.42578125" style="121"/>
  </cols>
  <sheetData>
    <row r="1" spans="2:31">
      <c r="AD1" s="121" t="s">
        <v>0</v>
      </c>
      <c r="AE1" s="121" t="s">
        <v>1</v>
      </c>
    </row>
    <row r="2" spans="2:31">
      <c r="B2" s="122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4"/>
      <c r="AD2" s="121" t="s">
        <v>2</v>
      </c>
      <c r="AE2" s="121" t="s">
        <v>2</v>
      </c>
    </row>
    <row r="3" spans="2:31">
      <c r="B3" s="125"/>
      <c r="S3" s="126"/>
    </row>
    <row r="4" spans="2:31">
      <c r="B4" s="125"/>
      <c r="S4" s="126"/>
    </row>
    <row r="5" spans="2:31">
      <c r="B5" s="125"/>
      <c r="S5" s="126"/>
    </row>
    <row r="6" spans="2:31">
      <c r="B6" s="125"/>
      <c r="S6" s="126"/>
    </row>
    <row r="7" spans="2:31">
      <c r="B7" s="125"/>
      <c r="S7" s="126"/>
    </row>
    <row r="8" spans="2:31">
      <c r="B8" s="125"/>
      <c r="S8" s="126"/>
    </row>
    <row r="9" spans="2:31" ht="45">
      <c r="B9" s="125"/>
      <c r="C9" s="127" t="s">
        <v>3</v>
      </c>
      <c r="D9" s="128"/>
      <c r="E9" s="128"/>
      <c r="F9" s="128"/>
      <c r="G9" s="128"/>
      <c r="H9" s="128"/>
      <c r="I9" s="128"/>
      <c r="S9" s="126"/>
    </row>
    <row r="10" spans="2:31" ht="45">
      <c r="B10" s="125"/>
      <c r="C10" s="127" t="s">
        <v>4</v>
      </c>
      <c r="D10" s="128"/>
      <c r="E10" s="128"/>
      <c r="F10" s="128"/>
      <c r="G10" s="128"/>
      <c r="H10" s="128"/>
      <c r="I10" s="128"/>
      <c r="S10" s="126"/>
    </row>
    <row r="11" spans="2:31">
      <c r="B11" s="125"/>
      <c r="C11" s="128"/>
      <c r="D11" s="128"/>
      <c r="E11" s="128"/>
      <c r="F11" s="128"/>
      <c r="G11" s="128"/>
      <c r="H11" s="128"/>
      <c r="I11" s="128"/>
      <c r="S11" s="126"/>
    </row>
    <row r="12" spans="2:31" ht="15" customHeight="1">
      <c r="B12" s="125"/>
      <c r="C12" s="128"/>
      <c r="D12" s="128"/>
      <c r="E12" s="128"/>
      <c r="F12" s="128"/>
      <c r="G12" s="128"/>
      <c r="H12" s="128"/>
      <c r="I12" s="128"/>
      <c r="J12" s="129"/>
      <c r="S12" s="126"/>
    </row>
    <row r="13" spans="2:31" ht="90" customHeight="1">
      <c r="B13" s="130"/>
      <c r="C13" s="254" t="s">
        <v>5</v>
      </c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54"/>
      <c r="R13" s="254"/>
      <c r="S13" s="131"/>
      <c r="W13" s="132"/>
      <c r="X13" s="132"/>
    </row>
    <row r="14" spans="2:31">
      <c r="B14" s="125"/>
      <c r="C14" s="128"/>
      <c r="D14" s="128"/>
      <c r="E14" s="128"/>
      <c r="F14" s="128"/>
      <c r="G14" s="128"/>
      <c r="H14" s="128"/>
      <c r="I14" s="128"/>
      <c r="S14" s="126"/>
      <c r="W14" s="132"/>
      <c r="X14" s="132"/>
    </row>
    <row r="15" spans="2:31">
      <c r="B15" s="125"/>
      <c r="C15" s="128"/>
      <c r="D15" s="128"/>
      <c r="E15" s="128"/>
      <c r="F15" s="128"/>
      <c r="G15" s="128"/>
      <c r="H15" s="128"/>
      <c r="I15" s="128"/>
      <c r="S15" s="126"/>
      <c r="W15" s="132"/>
    </row>
    <row r="16" spans="2:31">
      <c r="B16" s="125"/>
      <c r="S16" s="126"/>
      <c r="W16" s="132"/>
      <c r="X16" s="132"/>
    </row>
    <row r="17" spans="1:24">
      <c r="B17" s="125"/>
      <c r="S17" s="126"/>
      <c r="W17" s="132"/>
      <c r="X17" s="132"/>
    </row>
    <row r="18" spans="1:24">
      <c r="B18" s="125"/>
      <c r="S18" s="126"/>
      <c r="W18" s="132"/>
      <c r="X18" s="132"/>
    </row>
    <row r="19" spans="1:24" s="136" customFormat="1" ht="67.5" customHeight="1">
      <c r="A19" s="132"/>
      <c r="B19" s="133"/>
      <c r="C19" s="134"/>
      <c r="D19" s="135" t="s">
        <v>6</v>
      </c>
      <c r="F19" s="134" t="s">
        <v>7</v>
      </c>
      <c r="G19" s="135" t="s">
        <v>5</v>
      </c>
      <c r="H19" s="135"/>
      <c r="I19" s="135"/>
      <c r="J19" s="135"/>
      <c r="K19" s="135"/>
      <c r="L19" s="135"/>
      <c r="M19" s="135"/>
      <c r="N19" s="135"/>
      <c r="O19" s="135"/>
      <c r="P19" s="135"/>
      <c r="Q19" s="135"/>
      <c r="R19" s="135"/>
      <c r="S19" s="137"/>
    </row>
    <row r="20" spans="1:24" s="136" customFormat="1" ht="67.5" customHeight="1">
      <c r="A20" s="132"/>
      <c r="B20" s="133"/>
      <c r="C20" s="134"/>
      <c r="D20" s="135" t="s">
        <v>8</v>
      </c>
      <c r="F20" s="138"/>
      <c r="G20" s="135" t="s">
        <v>9</v>
      </c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  <c r="S20" s="137"/>
    </row>
    <row r="21" spans="1:24">
      <c r="B21" s="125"/>
      <c r="C21" s="128"/>
      <c r="D21" s="139"/>
      <c r="E21" s="128"/>
      <c r="F21" s="128"/>
      <c r="G21" s="128"/>
      <c r="H21" s="128"/>
      <c r="I21" s="128"/>
      <c r="S21" s="126"/>
    </row>
    <row r="22" spans="1:24" s="129" customFormat="1" ht="33.75">
      <c r="A22" s="121"/>
      <c r="B22" s="140"/>
      <c r="C22" s="134"/>
      <c r="D22" s="141" t="s">
        <v>10</v>
      </c>
      <c r="E22" s="134"/>
      <c r="G22" s="134"/>
      <c r="H22" s="142" t="s">
        <v>11</v>
      </c>
      <c r="I22" s="143"/>
      <c r="S22" s="144"/>
    </row>
    <row r="23" spans="1:24" s="129" customFormat="1" ht="33.75">
      <c r="A23" s="121"/>
      <c r="B23" s="140"/>
      <c r="C23" s="134"/>
      <c r="D23" s="141" t="s">
        <v>12</v>
      </c>
      <c r="E23" s="134"/>
      <c r="F23" s="134"/>
      <c r="H23" s="134"/>
      <c r="J23" s="142" t="s">
        <v>13</v>
      </c>
      <c r="S23" s="144"/>
    </row>
    <row r="24" spans="1:24">
      <c r="B24" s="125"/>
      <c r="S24" s="126"/>
    </row>
    <row r="25" spans="1:24">
      <c r="B25" s="125"/>
      <c r="S25" s="126"/>
    </row>
    <row r="26" spans="1:24" ht="15" hidden="1" customHeight="1">
      <c r="B26" s="125"/>
      <c r="S26" s="126"/>
    </row>
    <row r="27" spans="1:24" ht="15" hidden="1" customHeight="1">
      <c r="B27" s="125"/>
      <c r="S27" s="126"/>
    </row>
    <row r="28" spans="1:24">
      <c r="B28" s="125"/>
      <c r="S28" s="126"/>
    </row>
    <row r="29" spans="1:24">
      <c r="B29" s="125"/>
      <c r="S29" s="126"/>
    </row>
    <row r="30" spans="1:24" hidden="1">
      <c r="B30" s="125"/>
      <c r="S30" s="126"/>
    </row>
    <row r="31" spans="1:24" hidden="1">
      <c r="B31" s="125"/>
      <c r="S31" s="126"/>
    </row>
    <row r="32" spans="1:24" hidden="1">
      <c r="B32" s="125"/>
      <c r="S32" s="126"/>
    </row>
    <row r="33" spans="2:19">
      <c r="B33" s="125"/>
      <c r="S33" s="126"/>
    </row>
    <row r="34" spans="2:19" hidden="1">
      <c r="B34" s="125"/>
      <c r="S34" s="126"/>
    </row>
    <row r="35" spans="2:19" hidden="1">
      <c r="B35" s="125"/>
      <c r="S35" s="126"/>
    </row>
    <row r="36" spans="2:19" hidden="1">
      <c r="B36" s="125"/>
      <c r="S36" s="126"/>
    </row>
    <row r="37" spans="2:19" hidden="1">
      <c r="B37" s="125"/>
      <c r="S37" s="126"/>
    </row>
    <row r="38" spans="2:19">
      <c r="B38" s="125"/>
      <c r="S38" s="126"/>
    </row>
    <row r="39" spans="2:19">
      <c r="B39" s="125"/>
      <c r="S39" s="126"/>
    </row>
    <row r="40" spans="2:19" ht="7.5" customHeight="1">
      <c r="B40" s="125"/>
      <c r="S40" s="126"/>
    </row>
    <row r="41" spans="2:19">
      <c r="B41" s="145"/>
      <c r="C41" s="146"/>
      <c r="D41" s="146"/>
      <c r="E41" s="146"/>
      <c r="F41" s="146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7"/>
    </row>
  </sheetData>
  <mergeCells count="1">
    <mergeCell ref="C13:R1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3">
    <tabColor theme="4" tint="0.79998168889431442"/>
    <pageSetUpPr fitToPage="1"/>
  </sheetPr>
  <dimension ref="A1:T39"/>
  <sheetViews>
    <sheetView showGridLines="0" topLeftCell="A5" zoomScale="70" zoomScaleNormal="70" workbookViewId="0">
      <selection activeCell="G29" sqref="G29"/>
    </sheetView>
  </sheetViews>
  <sheetFormatPr baseColWidth="10" defaultColWidth="11.42578125" defaultRowHeight="15"/>
  <cols>
    <col min="1" max="1" width="2.85546875" style="9" customWidth="1"/>
    <col min="2" max="2" width="4.28515625" style="3" customWidth="1"/>
    <col min="3" max="3" width="22.85546875" style="3" customWidth="1"/>
    <col min="4" max="4" width="2.85546875" style="3" customWidth="1"/>
    <col min="5" max="5" width="22.85546875" style="3" customWidth="1"/>
    <col min="6" max="6" width="2.85546875" style="3" customWidth="1"/>
    <col min="7" max="7" width="22.85546875" style="53" customWidth="1"/>
    <col min="8" max="8" width="2.85546875" style="53" customWidth="1"/>
    <col min="9" max="9" width="22.85546875" style="53" customWidth="1"/>
    <col min="10" max="10" width="2.85546875" style="53" customWidth="1"/>
    <col min="11" max="11" width="22.85546875" style="53" customWidth="1"/>
    <col min="12" max="12" width="2.85546875" style="53" customWidth="1"/>
    <col min="13" max="13" width="22.85546875" style="53" customWidth="1"/>
    <col min="14" max="14" width="2.85546875" style="53" customWidth="1"/>
    <col min="15" max="15" width="22.85546875" style="53" customWidth="1"/>
    <col min="16" max="16" width="2.85546875" style="3" customWidth="1"/>
    <col min="17" max="17" width="22.85546875" style="3" customWidth="1"/>
    <col min="18" max="18" width="2.85546875" style="3" customWidth="1"/>
    <col min="19" max="19" width="4.28515625" style="3" customWidth="1"/>
    <col min="20" max="20" width="2.85546875" style="3" customWidth="1"/>
    <col min="21" max="24" width="11.42578125" style="3" customWidth="1"/>
    <col min="25" max="16384" width="11.42578125" style="3"/>
  </cols>
  <sheetData>
    <row r="1" spans="1:20" ht="15" customHeight="1">
      <c r="A1" s="8"/>
      <c r="B1" s="8"/>
      <c r="C1" s="8"/>
      <c r="D1" s="8"/>
      <c r="E1" s="8"/>
      <c r="F1" s="8"/>
      <c r="G1" s="43"/>
      <c r="H1" s="43"/>
      <c r="I1" s="43"/>
      <c r="J1" s="43"/>
      <c r="K1" s="43"/>
      <c r="L1" s="43"/>
      <c r="M1" s="43"/>
      <c r="N1" s="43"/>
      <c r="O1" s="43"/>
      <c r="P1" s="8"/>
      <c r="Q1" s="8"/>
      <c r="R1" s="8"/>
      <c r="S1" s="9"/>
      <c r="T1" s="8"/>
    </row>
    <row r="2" spans="1:20" ht="15" customHeight="1">
      <c r="B2" s="62"/>
      <c r="C2" s="63"/>
      <c r="D2" s="63"/>
      <c r="E2" s="63"/>
      <c r="F2" s="63"/>
      <c r="G2" s="67"/>
      <c r="H2" s="67"/>
      <c r="I2" s="67"/>
      <c r="J2" s="67"/>
      <c r="K2" s="67"/>
      <c r="L2" s="67"/>
      <c r="M2" s="67"/>
      <c r="N2" s="67"/>
      <c r="O2" s="67"/>
      <c r="P2" s="63"/>
      <c r="Q2" s="63"/>
      <c r="R2" s="63"/>
      <c r="S2" s="64"/>
    </row>
    <row r="3" spans="1:20" ht="15" customHeight="1">
      <c r="A3" s="8"/>
      <c r="B3" s="4"/>
      <c r="C3" s="5"/>
      <c r="D3" s="5"/>
      <c r="E3" s="5"/>
      <c r="F3" s="5"/>
      <c r="G3" s="44"/>
      <c r="H3" s="44"/>
      <c r="I3" s="44"/>
      <c r="J3" s="44"/>
      <c r="K3" s="44"/>
      <c r="L3" s="44"/>
      <c r="M3" s="44"/>
      <c r="N3" s="44"/>
      <c r="O3" s="44"/>
      <c r="P3" s="5"/>
      <c r="Q3" s="5"/>
      <c r="R3" s="5"/>
      <c r="S3" s="65"/>
    </row>
    <row r="4" spans="1:20" ht="15" customHeight="1">
      <c r="A4" s="8"/>
      <c r="B4" s="4"/>
      <c r="C4" s="5"/>
      <c r="D4" s="5"/>
      <c r="E4" s="5"/>
      <c r="F4" s="5"/>
      <c r="G4" s="44"/>
      <c r="H4" s="44"/>
      <c r="I4" s="44"/>
      <c r="J4" s="44"/>
      <c r="K4" s="44"/>
      <c r="L4" s="44"/>
      <c r="M4" s="44"/>
      <c r="N4" s="44"/>
      <c r="O4" s="44"/>
      <c r="P4" s="5"/>
      <c r="Q4" s="5"/>
      <c r="R4" s="5"/>
      <c r="S4" s="65"/>
    </row>
    <row r="5" spans="1:20" ht="15" customHeight="1">
      <c r="A5" s="8"/>
      <c r="B5" s="4"/>
      <c r="C5" s="5"/>
      <c r="D5" s="5"/>
      <c r="E5" s="5"/>
      <c r="F5" s="5"/>
      <c r="G5" s="44"/>
      <c r="H5" s="44"/>
      <c r="I5" s="44"/>
      <c r="J5" s="44"/>
      <c r="K5" s="44"/>
      <c r="L5" s="44"/>
      <c r="M5" s="44"/>
      <c r="N5" s="44"/>
      <c r="O5" s="44"/>
      <c r="P5" s="5"/>
      <c r="Q5" s="5"/>
      <c r="R5" s="5"/>
      <c r="S5" s="65"/>
    </row>
    <row r="6" spans="1:20" ht="15" hidden="1" customHeight="1">
      <c r="A6" s="8"/>
      <c r="B6" s="4"/>
      <c r="C6" s="5"/>
      <c r="D6" s="5"/>
      <c r="E6" s="5"/>
      <c r="F6" s="5"/>
      <c r="G6" s="44"/>
      <c r="H6" s="44"/>
      <c r="I6" s="44"/>
      <c r="J6" s="44"/>
      <c r="K6" s="44"/>
      <c r="L6" s="44"/>
      <c r="M6" s="44"/>
      <c r="N6" s="44"/>
      <c r="O6" s="44"/>
      <c r="P6" s="5"/>
      <c r="Q6" s="5"/>
      <c r="R6" s="5"/>
      <c r="S6" s="65"/>
    </row>
    <row r="7" spans="1:20" ht="15" hidden="1" customHeight="1">
      <c r="A7" s="8"/>
      <c r="B7" s="4"/>
      <c r="C7" s="5"/>
      <c r="D7" s="5"/>
      <c r="E7" s="5"/>
      <c r="F7" s="5"/>
      <c r="G7" s="44"/>
      <c r="H7" s="44"/>
      <c r="I7" s="44"/>
      <c r="J7" s="44"/>
      <c r="K7" s="44"/>
      <c r="L7" s="44"/>
      <c r="M7" s="44"/>
      <c r="N7" s="44"/>
      <c r="O7" s="44"/>
      <c r="P7" s="5"/>
      <c r="Q7" s="5"/>
      <c r="R7" s="5"/>
      <c r="S7" s="65"/>
    </row>
    <row r="8" spans="1:20" ht="60" customHeight="1">
      <c r="A8" s="8"/>
      <c r="B8" s="4"/>
      <c r="C8" s="255" t="str">
        <f>'Page de garde'!C13&amp;" : Résultats"</f>
        <v>CONFORT : Résultats</v>
      </c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6"/>
      <c r="R8" s="257"/>
      <c r="S8" s="65"/>
    </row>
    <row r="9" spans="1:20" ht="15" customHeight="1">
      <c r="A9" s="8"/>
      <c r="B9" s="4"/>
      <c r="C9" s="5"/>
      <c r="D9" s="5"/>
      <c r="E9" s="5"/>
      <c r="F9" s="5"/>
      <c r="G9" s="44"/>
      <c r="H9" s="44"/>
      <c r="I9" s="44"/>
      <c r="J9" s="44"/>
      <c r="K9" s="44"/>
      <c r="L9" s="44"/>
      <c r="M9" s="44"/>
      <c r="N9" s="44"/>
      <c r="O9" s="44"/>
      <c r="P9" s="5"/>
      <c r="Q9" s="5"/>
      <c r="R9" s="5"/>
      <c r="S9" s="65"/>
    </row>
    <row r="10" spans="1:20" ht="15" customHeight="1">
      <c r="A10" s="8"/>
      <c r="B10" s="4"/>
      <c r="C10" s="5"/>
      <c r="D10" s="5"/>
      <c r="E10" s="5"/>
      <c r="F10" s="5"/>
      <c r="G10" s="44"/>
      <c r="H10" s="44"/>
      <c r="I10" s="44"/>
      <c r="J10" s="44"/>
      <c r="K10" s="44"/>
      <c r="L10" s="44"/>
      <c r="M10" s="44"/>
      <c r="N10" s="44"/>
      <c r="O10" s="44"/>
      <c r="P10" s="5"/>
      <c r="Q10" s="5"/>
      <c r="R10" s="5"/>
      <c r="S10" s="65"/>
    </row>
    <row r="11" spans="1:20" ht="15" customHeight="1">
      <c r="A11" s="8"/>
      <c r="B11" s="4"/>
      <c r="C11" s="5"/>
      <c r="D11" s="5"/>
      <c r="E11" s="5"/>
      <c r="F11" s="5"/>
      <c r="G11" s="44"/>
      <c r="H11" s="44"/>
      <c r="I11" s="44"/>
      <c r="J11" s="44"/>
      <c r="K11" s="44"/>
      <c r="L11" s="44"/>
      <c r="M11" s="44"/>
      <c r="N11" s="44"/>
      <c r="O11" s="44"/>
      <c r="P11" s="5"/>
      <c r="Q11" s="5"/>
      <c r="R11" s="5"/>
      <c r="S11" s="65"/>
    </row>
    <row r="12" spans="1:20" ht="15" customHeight="1">
      <c r="A12" s="8"/>
      <c r="B12" s="4"/>
      <c r="C12" s="5"/>
      <c r="D12" s="5"/>
      <c r="E12" s="5"/>
      <c r="F12" s="5"/>
      <c r="G12" s="44"/>
      <c r="H12" s="44"/>
      <c r="I12" s="44"/>
      <c r="J12" s="44"/>
      <c r="K12" s="44"/>
      <c r="L12" s="44"/>
      <c r="M12" s="44"/>
      <c r="N12" s="44"/>
      <c r="O12" s="44"/>
      <c r="P12" s="5"/>
      <c r="Q12" s="5"/>
      <c r="R12" s="5"/>
      <c r="S12" s="65"/>
    </row>
    <row r="13" spans="1:20" s="117" customFormat="1" ht="15" customHeight="1">
      <c r="A13" s="68"/>
      <c r="B13" s="73"/>
      <c r="C13" s="148" t="s">
        <v>14</v>
      </c>
      <c r="D13" s="149"/>
      <c r="E13" s="150" t="str">
        <f>'Page de garde'!J23</f>
        <v>31 décembre 2020</v>
      </c>
      <c r="F13" s="11"/>
      <c r="G13" s="45"/>
      <c r="H13" s="45"/>
      <c r="I13" s="46"/>
      <c r="J13" s="46"/>
      <c r="K13" s="46"/>
      <c r="L13" s="46"/>
      <c r="M13" s="46"/>
      <c r="N13" s="46"/>
      <c r="O13" s="46"/>
      <c r="P13" s="11"/>
      <c r="Q13" s="11"/>
      <c r="R13" s="16"/>
      <c r="S13" s="74"/>
    </row>
    <row r="14" spans="1:20" s="117" customFormat="1" ht="15" customHeight="1">
      <c r="A14" s="68"/>
      <c r="B14" s="73"/>
      <c r="C14" s="11"/>
      <c r="D14" s="11"/>
      <c r="E14" s="11"/>
      <c r="F14" s="11"/>
      <c r="G14" s="46"/>
      <c r="H14" s="46"/>
      <c r="I14" s="46"/>
      <c r="J14" s="46"/>
      <c r="K14" s="46"/>
      <c r="L14" s="46"/>
      <c r="M14" s="46"/>
      <c r="N14" s="46"/>
      <c r="O14" s="46"/>
      <c r="P14" s="11"/>
      <c r="Q14" s="11"/>
      <c r="R14" s="16"/>
      <c r="S14" s="74"/>
    </row>
    <row r="15" spans="1:20" s="117" customFormat="1" ht="54.75" customHeight="1">
      <c r="A15" s="68"/>
      <c r="B15" s="73"/>
      <c r="C15" s="11"/>
      <c r="D15" s="11"/>
      <c r="E15" s="11"/>
      <c r="F15" s="12"/>
      <c r="G15" s="151" t="s">
        <v>15</v>
      </c>
      <c r="H15" s="47"/>
      <c r="I15" s="151" t="s">
        <v>16</v>
      </c>
      <c r="J15" s="47"/>
      <c r="K15" s="151" t="s">
        <v>17</v>
      </c>
      <c r="L15" s="47"/>
      <c r="M15" s="151" t="s">
        <v>18</v>
      </c>
      <c r="N15" s="47"/>
      <c r="O15" s="151" t="s">
        <v>19</v>
      </c>
      <c r="P15" s="12"/>
      <c r="Q15" s="152" t="s">
        <v>20</v>
      </c>
      <c r="R15" s="16"/>
      <c r="S15" s="74"/>
    </row>
    <row r="16" spans="1:20" s="117" customFormat="1" ht="22.5" customHeight="1">
      <c r="A16" s="68"/>
      <c r="B16" s="73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6"/>
      <c r="S16" s="74"/>
    </row>
    <row r="17" spans="1:19" s="117" customFormat="1" ht="22.5" customHeight="1">
      <c r="A17" s="68"/>
      <c r="B17" s="73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6"/>
      <c r="S17" s="74"/>
    </row>
    <row r="18" spans="1:19" s="117" customFormat="1" ht="22.5" customHeight="1">
      <c r="A18" s="68"/>
      <c r="B18" s="73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6"/>
      <c r="S18" s="74"/>
    </row>
    <row r="19" spans="1:19" s="117" customFormat="1" ht="22.5" customHeight="1">
      <c r="A19" s="108"/>
      <c r="B19" s="73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6"/>
      <c r="S19" s="74"/>
    </row>
    <row r="20" spans="1:19" s="117" customFormat="1" ht="22.5" customHeight="1">
      <c r="A20" s="108"/>
      <c r="B20" s="73"/>
      <c r="C20" s="153">
        <v>2020</v>
      </c>
      <c r="D20" s="11"/>
      <c r="E20" s="154" t="s">
        <v>21</v>
      </c>
      <c r="F20" s="11"/>
      <c r="G20" s="48">
        <v>852235.51999999024</v>
      </c>
      <c r="H20" s="47"/>
      <c r="I20" s="48">
        <v>87013.246591998948</v>
      </c>
      <c r="J20" s="47"/>
      <c r="K20" s="48">
        <v>1246989.1100000034</v>
      </c>
      <c r="L20" s="47"/>
      <c r="M20" s="13">
        <v>0.28139999999999998</v>
      </c>
      <c r="N20" s="47"/>
      <c r="O20" s="48">
        <v>896132.52999999956</v>
      </c>
      <c r="P20" s="12"/>
      <c r="Q20" s="13">
        <v>1.048113683140149</v>
      </c>
      <c r="R20" s="16"/>
      <c r="S20" s="74"/>
    </row>
    <row r="21" spans="1:19" s="117" customFormat="1" ht="22.5" customHeight="1">
      <c r="A21" s="68"/>
      <c r="B21" s="73"/>
      <c r="C21" s="10"/>
      <c r="D21" s="11"/>
      <c r="E21" s="155"/>
      <c r="F21" s="11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6"/>
      <c r="S21" s="74"/>
    </row>
    <row r="22" spans="1:19" ht="22.5" customHeight="1">
      <c r="A22" s="8"/>
      <c r="B22" s="4"/>
      <c r="C22" s="10"/>
      <c r="D22" s="11"/>
      <c r="E22" s="55"/>
      <c r="F22" s="11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6"/>
      <c r="S22" s="65"/>
    </row>
    <row r="23" spans="1:19" ht="22.5" customHeight="1">
      <c r="A23" s="8"/>
      <c r="B23" s="4"/>
      <c r="C23" s="10"/>
      <c r="D23" s="11"/>
      <c r="E23" s="10"/>
      <c r="F23" s="11"/>
      <c r="G23" s="49"/>
      <c r="H23" s="49"/>
      <c r="I23" s="49"/>
      <c r="J23" s="49"/>
      <c r="K23" s="50"/>
      <c r="L23" s="49"/>
      <c r="M23" s="50"/>
      <c r="N23" s="49"/>
      <c r="O23" s="50"/>
      <c r="P23" s="14"/>
      <c r="Q23" s="15"/>
      <c r="R23" s="16"/>
      <c r="S23" s="65"/>
    </row>
    <row r="24" spans="1:19" s="117" customFormat="1" ht="22.5" customHeight="1">
      <c r="A24" s="108"/>
      <c r="B24" s="73"/>
      <c r="C24" s="10"/>
      <c r="D24" s="11"/>
      <c r="E24" s="10"/>
      <c r="F24" s="11"/>
      <c r="G24" s="49"/>
      <c r="H24" s="49"/>
      <c r="I24" s="49"/>
      <c r="J24" s="49"/>
      <c r="K24" s="50"/>
      <c r="L24" s="49"/>
      <c r="M24" s="50"/>
      <c r="N24" s="49"/>
      <c r="O24" s="50"/>
      <c r="P24" s="14"/>
      <c r="Q24" s="15"/>
      <c r="R24" s="16"/>
      <c r="S24" s="74"/>
    </row>
    <row r="25" spans="1:19" s="117" customFormat="1" ht="22.5" customHeight="1">
      <c r="A25" s="108"/>
      <c r="B25" s="73"/>
      <c r="C25" s="153">
        <v>2019</v>
      </c>
      <c r="D25" s="11"/>
      <c r="E25" s="154" t="s">
        <v>21</v>
      </c>
      <c r="F25" s="11"/>
      <c r="G25" s="48">
        <v>1078140.2799999891</v>
      </c>
      <c r="H25" s="47"/>
      <c r="I25" s="48">
        <v>1617.2104199999828</v>
      </c>
      <c r="J25" s="47"/>
      <c r="K25" s="48">
        <v>1291225.1400000018</v>
      </c>
      <c r="L25" s="47"/>
      <c r="M25" s="13">
        <v>0.2319</v>
      </c>
      <c r="N25" s="47"/>
      <c r="O25" s="48">
        <v>991759.02000000095</v>
      </c>
      <c r="P25" s="12"/>
      <c r="Q25" s="13">
        <v>1.088729690000702</v>
      </c>
      <c r="R25" s="16"/>
      <c r="S25" s="74"/>
    </row>
    <row r="26" spans="1:19" s="117" customFormat="1" ht="22.5" customHeight="1">
      <c r="A26" s="68"/>
      <c r="B26" s="73"/>
      <c r="C26" s="10"/>
      <c r="D26" s="11"/>
      <c r="E26" s="155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6"/>
      <c r="S26" s="74"/>
    </row>
    <row r="27" spans="1:19" s="117" customFormat="1" ht="22.5" customHeight="1">
      <c r="A27" s="68"/>
      <c r="B27" s="73"/>
      <c r="C27" s="10"/>
      <c r="D27" s="11"/>
      <c r="E27" s="156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6"/>
      <c r="S27" s="74"/>
    </row>
    <row r="28" spans="1:19" s="117" customFormat="1" ht="22.5" customHeight="1">
      <c r="A28" s="68"/>
      <c r="B28" s="73"/>
      <c r="C28" s="10"/>
      <c r="D28" s="11"/>
      <c r="E28" s="155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6"/>
      <c r="S28" s="74"/>
    </row>
    <row r="29" spans="1:19" ht="12.6" customHeight="1">
      <c r="A29" s="8"/>
      <c r="B29" s="4"/>
      <c r="C29" s="10"/>
      <c r="D29" s="11"/>
      <c r="E29" s="55"/>
      <c r="F29" s="11"/>
      <c r="G29" s="47"/>
      <c r="H29" s="47"/>
      <c r="I29" s="57"/>
      <c r="J29" s="47"/>
      <c r="K29" s="47"/>
      <c r="L29" s="47"/>
      <c r="M29" s="47"/>
      <c r="N29" s="47"/>
      <c r="O29" s="47"/>
      <c r="P29" s="12"/>
      <c r="Q29" s="57"/>
      <c r="R29" s="16"/>
      <c r="S29" s="65"/>
    </row>
    <row r="30" spans="1:19" ht="8.85" customHeight="1">
      <c r="A30" s="8"/>
      <c r="B30" s="4"/>
      <c r="C30" s="10"/>
      <c r="D30" s="11"/>
      <c r="E30" s="55"/>
      <c r="F30" s="11"/>
      <c r="G30" s="47"/>
      <c r="H30" s="47"/>
      <c r="I30" s="57"/>
      <c r="J30" s="47"/>
      <c r="K30" s="47"/>
      <c r="L30" s="47"/>
      <c r="M30" s="47"/>
      <c r="N30" s="47"/>
      <c r="O30" s="47"/>
      <c r="P30" s="12"/>
      <c r="Q30" s="57"/>
      <c r="R30" s="16"/>
      <c r="S30" s="65"/>
    </row>
    <row r="31" spans="1:19" s="117" customFormat="1" ht="22.5" customHeight="1">
      <c r="A31" s="68"/>
      <c r="B31" s="73"/>
      <c r="C31" s="157" t="s">
        <v>22</v>
      </c>
      <c r="D31" s="158"/>
      <c r="E31" s="159"/>
      <c r="F31" s="158"/>
      <c r="G31" s="160"/>
      <c r="H31" s="160"/>
      <c r="I31" s="160"/>
      <c r="J31" s="160"/>
      <c r="K31" s="161"/>
      <c r="L31" s="160"/>
      <c r="M31" s="161"/>
      <c r="N31" s="160"/>
      <c r="O31" s="161"/>
      <c r="P31" s="162"/>
      <c r="Q31" s="163"/>
      <c r="R31" s="164"/>
      <c r="S31" s="74"/>
    </row>
    <row r="32" spans="1:19" s="117" customFormat="1" ht="22.5" customHeight="1">
      <c r="A32" s="68"/>
      <c r="B32" s="73"/>
      <c r="C32" s="157" t="s">
        <v>23</v>
      </c>
      <c r="D32" s="158"/>
      <c r="E32" s="159"/>
      <c r="F32" s="158"/>
      <c r="G32" s="160"/>
      <c r="H32" s="160"/>
      <c r="I32" s="160"/>
      <c r="J32" s="160"/>
      <c r="K32" s="161"/>
      <c r="L32" s="160"/>
      <c r="M32" s="161"/>
      <c r="N32" s="160"/>
      <c r="O32" s="161"/>
      <c r="P32" s="162"/>
      <c r="Q32" s="163"/>
      <c r="R32" s="164"/>
      <c r="S32" s="74"/>
    </row>
    <row r="33" spans="1:19" s="117" customFormat="1" ht="22.5" customHeight="1">
      <c r="A33" s="68"/>
      <c r="B33" s="73"/>
      <c r="C33" s="259" t="s">
        <v>24</v>
      </c>
      <c r="D33" s="259"/>
      <c r="E33" s="259"/>
      <c r="F33" s="259"/>
      <c r="G33" s="259"/>
      <c r="H33" s="259"/>
      <c r="I33" s="259"/>
      <c r="J33" s="259"/>
      <c r="K33" s="259"/>
      <c r="L33" s="259"/>
      <c r="M33" s="259"/>
      <c r="N33" s="259"/>
      <c r="O33" s="259"/>
      <c r="P33" s="259"/>
      <c r="Q33" s="259"/>
      <c r="R33" s="259"/>
      <c r="S33" s="74"/>
    </row>
    <row r="34" spans="1:19" ht="18.75">
      <c r="A34" s="8"/>
      <c r="B34" s="4"/>
      <c r="C34" s="17"/>
      <c r="D34" s="11"/>
      <c r="E34" s="10"/>
      <c r="F34" s="11"/>
      <c r="G34" s="49"/>
      <c r="H34" s="49"/>
      <c r="I34" s="49"/>
      <c r="J34" s="49"/>
      <c r="K34" s="50"/>
      <c r="L34" s="49"/>
      <c r="M34" s="50"/>
      <c r="N34" s="49"/>
      <c r="O34" s="50"/>
      <c r="P34" s="14"/>
      <c r="Q34" s="15"/>
      <c r="R34" s="16"/>
      <c r="S34" s="65"/>
    </row>
    <row r="35" spans="1:19" ht="32.450000000000003" customHeight="1">
      <c r="A35" s="8"/>
      <c r="B35" s="4"/>
      <c r="C35" s="258"/>
      <c r="D35" s="258"/>
      <c r="E35" s="258"/>
      <c r="F35" s="258"/>
      <c r="G35" s="258"/>
      <c r="H35" s="258"/>
      <c r="I35" s="258"/>
      <c r="J35" s="258"/>
      <c r="K35" s="258"/>
      <c r="L35" s="258"/>
      <c r="M35" s="258"/>
      <c r="N35" s="258"/>
      <c r="O35" s="258"/>
      <c r="P35" s="258"/>
      <c r="Q35" s="258"/>
      <c r="R35" s="258"/>
      <c r="S35" s="65"/>
    </row>
    <row r="36" spans="1:19" ht="22.5" customHeight="1">
      <c r="A36" s="8"/>
      <c r="B36" s="4"/>
      <c r="C36" s="10"/>
      <c r="D36" s="11"/>
      <c r="E36" s="11"/>
      <c r="F36" s="11"/>
      <c r="G36" s="46"/>
      <c r="H36" s="46"/>
      <c r="I36" s="46"/>
      <c r="J36" s="46"/>
      <c r="K36" s="46"/>
      <c r="L36" s="46"/>
      <c r="M36" s="46"/>
      <c r="N36" s="46"/>
      <c r="O36" s="46"/>
      <c r="P36" s="11"/>
      <c r="Q36" s="11"/>
      <c r="R36" s="16"/>
      <c r="S36" s="65"/>
    </row>
    <row r="37" spans="1:19" ht="32.450000000000003" customHeight="1">
      <c r="A37" s="8"/>
      <c r="B37" s="4"/>
      <c r="C37" s="258"/>
      <c r="D37" s="258"/>
      <c r="E37" s="258"/>
      <c r="F37" s="258"/>
      <c r="G37" s="258"/>
      <c r="H37" s="258"/>
      <c r="I37" s="258"/>
      <c r="J37" s="258"/>
      <c r="K37" s="258"/>
      <c r="L37" s="258"/>
      <c r="M37" s="258"/>
      <c r="N37" s="46"/>
      <c r="O37" s="46"/>
      <c r="P37" s="11"/>
      <c r="Q37" s="11"/>
      <c r="R37" s="16"/>
      <c r="S37" s="65"/>
    </row>
    <row r="38" spans="1:19" ht="15" customHeight="1">
      <c r="A38" s="8"/>
      <c r="B38" s="6"/>
      <c r="C38" s="7"/>
      <c r="D38" s="7"/>
      <c r="E38" s="7"/>
      <c r="F38" s="7"/>
      <c r="G38" s="51"/>
      <c r="H38" s="51"/>
      <c r="I38" s="51"/>
      <c r="J38" s="51"/>
      <c r="K38" s="51"/>
      <c r="L38" s="51"/>
      <c r="M38" s="51"/>
      <c r="N38" s="51"/>
      <c r="O38" s="51"/>
      <c r="P38" s="7"/>
      <c r="Q38" s="7"/>
      <c r="R38" s="7"/>
      <c r="S38" s="66"/>
    </row>
    <row r="39" spans="1:19">
      <c r="A39" s="8"/>
      <c r="G39" s="52"/>
      <c r="H39" s="52"/>
      <c r="I39" s="52"/>
      <c r="J39" s="52"/>
      <c r="K39" s="52"/>
      <c r="L39" s="52"/>
      <c r="M39" s="52"/>
      <c r="N39" s="52"/>
      <c r="O39" s="52"/>
    </row>
  </sheetData>
  <mergeCells count="4">
    <mergeCell ref="C8:R8"/>
    <mergeCell ref="C37:M37"/>
    <mergeCell ref="C35:R35"/>
    <mergeCell ref="C33:R33"/>
  </mergeCells>
  <pageMargins left="0.70866141732283472" right="0.70866141732283472" top="0.74803149606299213" bottom="0.74803149606299213" header="0.31496062992125984" footer="0.31496062992125984"/>
  <pageSetup paperSize="9" scale="60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4">
    <tabColor theme="4" tint="0.79998168889431442"/>
  </sheetPr>
  <dimension ref="A1:AD52"/>
  <sheetViews>
    <sheetView showGridLines="0" topLeftCell="A7" zoomScale="85" zoomScaleNormal="85" workbookViewId="0">
      <selection activeCell="D22" sqref="D22"/>
    </sheetView>
  </sheetViews>
  <sheetFormatPr baseColWidth="10" defaultColWidth="11.42578125" defaultRowHeight="15"/>
  <cols>
    <col min="1" max="1" width="2.85546875" style="68" customWidth="1"/>
    <col min="2" max="2" width="4.28515625" style="56" customWidth="1"/>
    <col min="3" max="3" width="35.7109375" style="56" customWidth="1"/>
    <col min="4" max="11" width="21.28515625" style="56" customWidth="1"/>
    <col min="12" max="12" width="4.28515625" style="56" customWidth="1"/>
    <col min="13" max="13" width="2.85546875" style="56" customWidth="1"/>
    <col min="14" max="17" width="11.42578125" style="56" customWidth="1"/>
    <col min="18" max="18" width="22.5703125" style="56" bestFit="1" customWidth="1"/>
    <col min="19" max="26" width="11.42578125" style="56" customWidth="1"/>
    <col min="27" max="28" width="12.7109375" style="56" bestFit="1" customWidth="1"/>
    <col min="29" max="29" width="10.5703125" style="56" bestFit="1" customWidth="1"/>
    <col min="30" max="33" width="11.42578125" style="56" customWidth="1"/>
    <col min="34" max="16384" width="11.42578125" style="56"/>
  </cols>
  <sheetData>
    <row r="1" spans="1:30"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</row>
    <row r="2" spans="1:30">
      <c r="B2" s="69"/>
      <c r="C2" s="70"/>
      <c r="D2" s="70"/>
      <c r="E2" s="70"/>
      <c r="F2" s="70"/>
      <c r="G2" s="70"/>
      <c r="H2" s="70"/>
      <c r="I2" s="70"/>
      <c r="J2" s="70"/>
      <c r="K2" s="70"/>
      <c r="L2" s="71"/>
      <c r="P2" s="72"/>
    </row>
    <row r="3" spans="1:30">
      <c r="B3" s="73"/>
      <c r="L3" s="74"/>
    </row>
    <row r="4" spans="1:30">
      <c r="B4" s="73"/>
      <c r="L4" s="74"/>
    </row>
    <row r="5" spans="1:30">
      <c r="B5" s="73"/>
      <c r="L5" s="74"/>
    </row>
    <row r="6" spans="1:30" hidden="1">
      <c r="B6" s="73"/>
      <c r="L6" s="74"/>
    </row>
    <row r="7" spans="1:30">
      <c r="B7" s="73"/>
      <c r="L7" s="74"/>
    </row>
    <row r="8" spans="1:30" s="117" customFormat="1" ht="60" customHeight="1">
      <c r="A8" s="68"/>
      <c r="B8" s="73"/>
      <c r="C8" s="255" t="str">
        <f>'Page de garde'!C13&amp;" : Nombre d'Assurés par société"</f>
        <v>CONFORT : Nombre d'Assurés par société</v>
      </c>
      <c r="D8" s="256"/>
      <c r="E8" s="256"/>
      <c r="F8" s="256"/>
      <c r="G8" s="256"/>
      <c r="H8" s="256"/>
      <c r="I8" s="256"/>
      <c r="J8" s="256"/>
      <c r="K8" s="257"/>
      <c r="L8" s="74"/>
    </row>
    <row r="9" spans="1:30" s="117" customFormat="1" hidden="1">
      <c r="A9" s="68"/>
      <c r="B9" s="73"/>
      <c r="L9" s="74"/>
    </row>
    <row r="10" spans="1:30" s="117" customFormat="1">
      <c r="A10" s="68"/>
      <c r="B10" s="73"/>
      <c r="L10" s="74"/>
    </row>
    <row r="11" spans="1:30" s="117" customFormat="1" ht="18.75" customHeight="1">
      <c r="A11" s="68"/>
      <c r="B11" s="73"/>
      <c r="C11" s="165" t="s">
        <v>25</v>
      </c>
      <c r="L11" s="74"/>
    </row>
    <row r="12" spans="1:30" s="117" customFormat="1" ht="22.5" customHeight="1">
      <c r="A12" s="68"/>
      <c r="B12" s="73"/>
      <c r="L12" s="74"/>
    </row>
    <row r="13" spans="1:30" s="77" customFormat="1" ht="22.5" customHeight="1">
      <c r="A13" s="75"/>
      <c r="B13" s="76"/>
      <c r="D13" s="260" t="s">
        <v>26</v>
      </c>
      <c r="E13" s="261"/>
      <c r="F13" s="262"/>
      <c r="G13" s="263"/>
      <c r="H13" s="94"/>
      <c r="I13" s="94"/>
      <c r="J13" s="94"/>
      <c r="K13" s="94"/>
      <c r="L13" s="78"/>
    </row>
    <row r="14" spans="1:30" s="83" customFormat="1" ht="14.25" customHeight="1">
      <c r="A14" s="79"/>
      <c r="B14" s="80"/>
      <c r="C14" s="81"/>
      <c r="D14" s="166" t="s">
        <v>27</v>
      </c>
      <c r="E14" s="167" t="s">
        <v>28</v>
      </c>
      <c r="F14" s="166" t="s">
        <v>29</v>
      </c>
      <c r="G14" s="168" t="s">
        <v>30</v>
      </c>
      <c r="H14" s="94"/>
      <c r="I14" s="94"/>
      <c r="J14" s="94"/>
      <c r="K14" s="94"/>
      <c r="L14" s="82"/>
      <c r="R14" s="84"/>
      <c r="Z14" s="85"/>
      <c r="AA14" s="85"/>
      <c r="AB14" s="86" t="s">
        <v>27</v>
      </c>
      <c r="AC14" s="86" t="s">
        <v>28</v>
      </c>
      <c r="AD14" s="87"/>
    </row>
    <row r="15" spans="1:30" s="83" customFormat="1" ht="14.25" customHeight="1">
      <c r="A15" s="79"/>
      <c r="B15" s="80"/>
      <c r="C15" s="88" t="s">
        <v>5</v>
      </c>
      <c r="D15" s="189">
        <v>0</v>
      </c>
      <c r="E15" s="189">
        <v>2809</v>
      </c>
      <c r="F15" s="89"/>
      <c r="G15" s="90">
        <v>1</v>
      </c>
      <c r="H15" s="94"/>
      <c r="I15" s="94"/>
      <c r="J15" s="94"/>
      <c r="K15" s="94"/>
      <c r="L15" s="82"/>
      <c r="Z15" s="85"/>
      <c r="AA15" s="85" t="s">
        <v>5</v>
      </c>
      <c r="AB15" s="85">
        <v>0</v>
      </c>
      <c r="AC15" s="85">
        <v>2809</v>
      </c>
      <c r="AD15" s="87"/>
    </row>
    <row r="16" spans="1:30" s="83" customFormat="1" ht="14.25" customHeight="1">
      <c r="A16" s="79"/>
      <c r="B16" s="80"/>
      <c r="C16" s="224" t="s">
        <v>31</v>
      </c>
      <c r="D16" s="190">
        <v>0</v>
      </c>
      <c r="E16" s="190">
        <v>2461</v>
      </c>
      <c r="F16" s="91"/>
      <c r="G16" s="92">
        <v>0.8761124955500178</v>
      </c>
      <c r="H16" s="94"/>
      <c r="I16" s="94"/>
      <c r="J16" s="94"/>
      <c r="K16" s="94"/>
      <c r="L16" s="82"/>
      <c r="Z16" s="85"/>
      <c r="AA16" s="85"/>
      <c r="AB16" s="85"/>
      <c r="AC16" s="85"/>
      <c r="AD16" s="87"/>
    </row>
    <row r="17" spans="1:30" s="83" customFormat="1" ht="14.25" customHeight="1">
      <c r="A17" s="79"/>
      <c r="B17" s="80"/>
      <c r="C17" s="224" t="s">
        <v>32</v>
      </c>
      <c r="D17" s="190">
        <v>0</v>
      </c>
      <c r="E17" s="190">
        <v>34</v>
      </c>
      <c r="F17" s="91"/>
      <c r="G17" s="92">
        <v>1.2103951584193664E-2</v>
      </c>
      <c r="H17" s="94"/>
      <c r="I17" s="94"/>
      <c r="J17" s="94"/>
      <c r="K17" s="94"/>
      <c r="L17" s="82"/>
      <c r="Z17" s="85"/>
      <c r="AA17" s="85"/>
      <c r="AB17" s="85"/>
      <c r="AC17" s="85"/>
      <c r="AD17" s="87"/>
    </row>
    <row r="18" spans="1:30" s="83" customFormat="1" ht="14.25" customHeight="1">
      <c r="A18" s="79"/>
      <c r="B18" s="80"/>
      <c r="C18" s="224" t="s">
        <v>33</v>
      </c>
      <c r="D18" s="190">
        <v>0</v>
      </c>
      <c r="E18" s="190">
        <v>314</v>
      </c>
      <c r="F18" s="91"/>
      <c r="G18" s="92">
        <v>0.11178355286578853</v>
      </c>
      <c r="H18" s="94"/>
      <c r="I18" s="94"/>
      <c r="J18" s="94"/>
      <c r="K18" s="94"/>
      <c r="L18" s="82"/>
      <c r="Z18" s="85"/>
      <c r="AA18" s="85"/>
      <c r="AB18" s="85"/>
      <c r="AC18" s="85"/>
      <c r="AD18" s="87"/>
    </row>
    <row r="19" spans="1:30" s="83" customFormat="1" ht="14.25" customHeight="1">
      <c r="A19" s="79"/>
      <c r="B19" s="80"/>
      <c r="C19" s="250" t="s">
        <v>34</v>
      </c>
      <c r="D19" s="251">
        <v>0</v>
      </c>
      <c r="E19" s="251">
        <v>2809</v>
      </c>
      <c r="F19" s="252"/>
      <c r="G19" s="253">
        <v>1</v>
      </c>
      <c r="H19" s="94"/>
      <c r="I19" s="94"/>
      <c r="J19" s="94"/>
      <c r="K19" s="94"/>
      <c r="L19" s="82"/>
    </row>
    <row r="20" spans="1:30" s="83" customFormat="1" ht="14.25" customHeight="1">
      <c r="A20" s="79"/>
      <c r="B20" s="80"/>
      <c r="C20" s="93"/>
      <c r="D20" s="94"/>
      <c r="E20" s="94"/>
      <c r="F20" s="95"/>
      <c r="G20" s="96"/>
      <c r="H20" s="94"/>
      <c r="I20" s="94"/>
      <c r="J20" s="95"/>
      <c r="K20" s="96"/>
      <c r="L20" s="82"/>
    </row>
    <row r="21" spans="1:30" s="83" customFormat="1" ht="14.25" customHeight="1">
      <c r="A21" s="79"/>
      <c r="B21" s="80"/>
      <c r="C21" s="93"/>
      <c r="D21" s="94"/>
      <c r="E21" s="94"/>
      <c r="F21" s="95"/>
      <c r="G21" s="96"/>
      <c r="H21" s="94"/>
      <c r="I21" s="94"/>
      <c r="J21" s="95"/>
      <c r="K21" s="96"/>
      <c r="L21" s="82"/>
    </row>
    <row r="22" spans="1:30" s="83" customFormat="1" ht="14.25" customHeight="1">
      <c r="A22" s="79"/>
      <c r="B22" s="80"/>
      <c r="C22" s="93"/>
      <c r="D22" s="94"/>
      <c r="E22" s="94"/>
      <c r="F22" s="95"/>
      <c r="G22" s="96"/>
      <c r="H22" s="94"/>
      <c r="I22" s="94"/>
      <c r="J22" s="95"/>
      <c r="K22" s="96"/>
      <c r="L22" s="82"/>
    </row>
    <row r="23" spans="1:30" s="83" customFormat="1" ht="14.25" customHeight="1">
      <c r="A23" s="79"/>
      <c r="B23" s="80"/>
      <c r="C23" s="93"/>
      <c r="D23" s="94"/>
      <c r="E23" s="94"/>
      <c r="F23" s="95"/>
      <c r="G23" s="96"/>
      <c r="H23" s="94"/>
      <c r="I23" s="94"/>
      <c r="J23" s="95"/>
      <c r="K23" s="96"/>
      <c r="L23" s="82"/>
    </row>
    <row r="24" spans="1:30" s="83" customFormat="1" ht="14.25" customHeight="1">
      <c r="A24" s="79"/>
      <c r="B24" s="80"/>
      <c r="C24" s="93"/>
      <c r="D24" s="94"/>
      <c r="E24" s="94"/>
      <c r="F24" s="95"/>
      <c r="G24" s="96"/>
      <c r="H24" s="94"/>
      <c r="I24" s="94"/>
      <c r="J24" s="95"/>
      <c r="K24" s="96"/>
      <c r="L24" s="82"/>
    </row>
    <row r="25" spans="1:30" s="83" customFormat="1" ht="14.25" customHeight="1">
      <c r="A25" s="79"/>
      <c r="B25" s="80"/>
      <c r="C25" s="93"/>
      <c r="D25" s="94"/>
      <c r="E25" s="94"/>
      <c r="F25" s="95"/>
      <c r="G25" s="96"/>
      <c r="H25" s="94"/>
      <c r="I25" s="94"/>
      <c r="J25" s="95"/>
      <c r="K25" s="96"/>
      <c r="L25" s="82"/>
    </row>
    <row r="26" spans="1:30" s="83" customFormat="1" ht="14.25" customHeight="1">
      <c r="A26" s="79"/>
      <c r="B26" s="80"/>
      <c r="C26" s="93"/>
      <c r="D26" s="94"/>
      <c r="E26" s="94"/>
      <c r="F26" s="95"/>
      <c r="G26" s="96"/>
      <c r="H26" s="94"/>
      <c r="I26" s="94"/>
      <c r="J26" s="95"/>
      <c r="K26" s="96"/>
      <c r="L26" s="82"/>
    </row>
    <row r="27" spans="1:30" s="83" customFormat="1" ht="14.25" customHeight="1">
      <c r="A27" s="79"/>
      <c r="B27" s="80"/>
      <c r="C27" s="93"/>
      <c r="D27" s="94"/>
      <c r="E27" s="94"/>
      <c r="F27" s="95"/>
      <c r="G27" s="96"/>
      <c r="H27" s="94"/>
      <c r="I27" s="94"/>
      <c r="J27" s="95"/>
      <c r="K27" s="96"/>
      <c r="L27" s="82"/>
    </row>
    <row r="28" spans="1:30" s="83" customFormat="1" ht="14.25" customHeight="1">
      <c r="A28" s="79"/>
      <c r="B28" s="80"/>
      <c r="C28" s="93"/>
      <c r="D28" s="94"/>
      <c r="E28" s="94"/>
      <c r="F28" s="95"/>
      <c r="G28" s="96"/>
      <c r="H28" s="94"/>
      <c r="I28" s="94"/>
      <c r="J28" s="95"/>
      <c r="K28" s="96"/>
      <c r="L28" s="82"/>
    </row>
    <row r="29" spans="1:30" s="83" customFormat="1" ht="14.25" customHeight="1">
      <c r="A29" s="79"/>
      <c r="B29" s="80"/>
      <c r="C29" s="93"/>
      <c r="D29" s="94"/>
      <c r="E29" s="94"/>
      <c r="F29" s="95"/>
      <c r="G29" s="96"/>
      <c r="H29" s="94"/>
      <c r="I29" s="94"/>
      <c r="J29" s="95"/>
      <c r="K29" s="96"/>
      <c r="L29" s="82"/>
    </row>
    <row r="30" spans="1:30" s="83" customFormat="1" ht="14.25" customHeight="1">
      <c r="A30" s="79"/>
      <c r="B30" s="80"/>
      <c r="C30" s="93"/>
      <c r="D30" s="94"/>
      <c r="E30" s="94"/>
      <c r="F30" s="95"/>
      <c r="G30" s="96"/>
      <c r="H30" s="94"/>
      <c r="I30" s="94"/>
      <c r="J30" s="95"/>
      <c r="K30" s="96"/>
      <c r="L30" s="82"/>
    </row>
    <row r="31" spans="1:30" s="83" customFormat="1" ht="14.25" customHeight="1">
      <c r="A31" s="79"/>
      <c r="B31" s="80"/>
      <c r="C31" s="93"/>
      <c r="D31" s="94"/>
      <c r="E31" s="94"/>
      <c r="F31" s="95"/>
      <c r="G31" s="96"/>
      <c r="H31" s="94"/>
      <c r="I31" s="94"/>
      <c r="J31" s="95"/>
      <c r="K31" s="96"/>
      <c r="L31" s="82"/>
    </row>
    <row r="32" spans="1:30" ht="14.25" customHeight="1">
      <c r="B32" s="73"/>
      <c r="L32" s="74"/>
    </row>
    <row r="33" spans="2:12" ht="14.25" customHeight="1">
      <c r="B33" s="73"/>
      <c r="L33" s="74"/>
    </row>
    <row r="34" spans="2:12" ht="14.25" customHeight="1">
      <c r="B34" s="73"/>
      <c r="L34" s="74"/>
    </row>
    <row r="35" spans="2:12" ht="14.25" customHeight="1">
      <c r="B35" s="73"/>
      <c r="L35" s="74"/>
    </row>
    <row r="36" spans="2:12" ht="14.25" customHeight="1">
      <c r="B36" s="73"/>
      <c r="L36" s="74"/>
    </row>
    <row r="37" spans="2:12" ht="14.25" customHeight="1">
      <c r="B37" s="73"/>
      <c r="L37" s="74"/>
    </row>
    <row r="38" spans="2:12" ht="14.25" customHeight="1">
      <c r="B38" s="73"/>
      <c r="L38" s="74"/>
    </row>
    <row r="39" spans="2:12" ht="14.25" customHeight="1">
      <c r="B39" s="73"/>
      <c r="L39" s="74"/>
    </row>
    <row r="40" spans="2:12" ht="14.25" customHeight="1">
      <c r="B40" s="73"/>
      <c r="L40" s="74"/>
    </row>
    <row r="41" spans="2:12" ht="14.25" customHeight="1">
      <c r="B41" s="73"/>
      <c r="L41" s="74"/>
    </row>
    <row r="42" spans="2:12" ht="14.25" customHeight="1">
      <c r="B42" s="73"/>
      <c r="L42" s="74"/>
    </row>
    <row r="43" spans="2:12" ht="14.25" customHeight="1">
      <c r="B43" s="73"/>
      <c r="L43" s="74"/>
    </row>
    <row r="44" spans="2:12" ht="14.25" customHeight="1">
      <c r="B44" s="73"/>
      <c r="L44" s="74"/>
    </row>
    <row r="45" spans="2:12" ht="14.25" customHeight="1">
      <c r="B45" s="73"/>
      <c r="L45" s="74"/>
    </row>
    <row r="46" spans="2:12" ht="14.25" customHeight="1">
      <c r="B46" s="73"/>
      <c r="L46" s="74"/>
    </row>
    <row r="47" spans="2:12" ht="14.25" customHeight="1">
      <c r="B47" s="73"/>
      <c r="L47" s="74"/>
    </row>
    <row r="48" spans="2:12" ht="14.25" customHeight="1">
      <c r="B48" s="73"/>
      <c r="L48" s="74"/>
    </row>
    <row r="49" spans="2:12" ht="14.25" customHeight="1">
      <c r="B49" s="73"/>
      <c r="L49" s="74"/>
    </row>
    <row r="50" spans="2:12" ht="14.25" customHeight="1">
      <c r="B50" s="73"/>
      <c r="L50" s="74"/>
    </row>
    <row r="51" spans="2:12" ht="14.25" customHeight="1">
      <c r="B51" s="73"/>
      <c r="L51" s="74"/>
    </row>
    <row r="52" spans="2:12" ht="7.5" customHeight="1">
      <c r="B52" s="97"/>
      <c r="C52" s="98"/>
      <c r="D52" s="98"/>
      <c r="E52" s="98"/>
      <c r="F52" s="98"/>
      <c r="G52" s="98"/>
      <c r="H52" s="98"/>
      <c r="I52" s="98"/>
      <c r="J52" s="98"/>
      <c r="K52" s="98"/>
      <c r="L52" s="99"/>
    </row>
  </sheetData>
  <mergeCells count="3">
    <mergeCell ref="C8:K8"/>
    <mergeCell ref="D13:E13"/>
    <mergeCell ref="F13:G1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8"/>
  <sheetViews>
    <sheetView showGridLines="0" zoomScale="85" zoomScaleNormal="85" workbookViewId="0">
      <selection activeCell="G25" sqref="G25"/>
    </sheetView>
  </sheetViews>
  <sheetFormatPr baseColWidth="10" defaultColWidth="11.42578125" defaultRowHeight="15"/>
  <cols>
    <col min="1" max="1" width="2.85546875" style="9" customWidth="1"/>
    <col min="2" max="2" width="4.28515625" style="3" customWidth="1"/>
    <col min="3" max="3" width="20" style="3" customWidth="1"/>
    <col min="4" max="4" width="11.42578125" style="3" customWidth="1"/>
    <col min="5" max="5" width="12.5703125" style="3" customWidth="1"/>
    <col min="6" max="6" width="11.42578125" style="3" customWidth="1"/>
    <col min="7" max="7" width="13.42578125" style="3" customWidth="1"/>
    <col min="8" max="9" width="11.42578125" style="3" customWidth="1"/>
    <col min="10" max="10" width="18.42578125" style="3" customWidth="1"/>
    <col min="11" max="11" width="34.28515625" style="3" customWidth="1"/>
    <col min="12" max="12" width="11.42578125" style="3" customWidth="1"/>
    <col min="13" max="13" width="17.140625" style="3" customWidth="1"/>
    <col min="14" max="16" width="11.42578125" style="3" customWidth="1"/>
    <col min="17" max="17" width="4.140625" style="3" customWidth="1"/>
    <col min="18" max="18" width="2.85546875" style="3" customWidth="1"/>
    <col min="19" max="20" width="11.42578125" style="3" customWidth="1"/>
    <col min="21" max="21" width="19.7109375" style="3" bestFit="1" customWidth="1"/>
    <col min="22" max="25" width="11.42578125" style="3" customWidth="1"/>
    <col min="26" max="16384" width="11.42578125" style="3"/>
  </cols>
  <sheetData>
    <row r="1" spans="1:21" ht="1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9"/>
      <c r="R1" s="8"/>
    </row>
    <row r="2" spans="1:21" ht="15" customHeight="1">
      <c r="B2" s="62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4"/>
      <c r="U2" s="41"/>
    </row>
    <row r="3" spans="1:21" ht="15" customHeight="1">
      <c r="A3" s="8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65"/>
    </row>
    <row r="4" spans="1:21" ht="15" customHeight="1">
      <c r="A4" s="8"/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65"/>
    </row>
    <row r="5" spans="1:21" ht="15" customHeight="1">
      <c r="A5" s="8"/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65"/>
    </row>
    <row r="6" spans="1:21" ht="15" customHeight="1">
      <c r="A6" s="8"/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65"/>
    </row>
    <row r="7" spans="1:21" ht="15" hidden="1" customHeight="1">
      <c r="A7" s="8"/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65"/>
    </row>
    <row r="8" spans="1:21" s="117" customFormat="1" ht="60" customHeight="1">
      <c r="A8" s="68"/>
      <c r="B8" s="73"/>
      <c r="C8" s="255" t="str">
        <f>'Page de garde'!C13&amp;" : Démographie des Assurés vue au "&amp;AFFICHAGE!N2</f>
        <v>CONFORT : Démographie des Assurés vue au 31/12/2020</v>
      </c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7"/>
      <c r="Q8" s="74"/>
    </row>
    <row r="9" spans="1:21" s="117" customFormat="1" ht="15" customHeight="1">
      <c r="A9" s="68"/>
      <c r="B9" s="73"/>
      <c r="Q9" s="74"/>
    </row>
    <row r="10" spans="1:21" s="117" customFormat="1" ht="15" customHeight="1">
      <c r="A10" s="68"/>
      <c r="B10" s="73"/>
      <c r="Q10" s="74"/>
    </row>
    <row r="11" spans="1:21" s="117" customFormat="1" ht="15" customHeight="1">
      <c r="A11" s="68"/>
      <c r="B11" s="73"/>
      <c r="C11" s="169" t="s">
        <v>35</v>
      </c>
      <c r="K11" s="170" t="s">
        <v>36</v>
      </c>
      <c r="Q11" s="74"/>
    </row>
    <row r="12" spans="1:21" s="117" customFormat="1" ht="30" customHeight="1">
      <c r="A12" s="68"/>
      <c r="B12" s="73"/>
      <c r="Q12" s="74"/>
    </row>
    <row r="13" spans="1:21" s="117" customFormat="1" ht="45">
      <c r="A13" s="68"/>
      <c r="B13" s="73"/>
      <c r="C13" s="19"/>
      <c r="D13" s="120" t="s">
        <v>37</v>
      </c>
      <c r="E13" s="120" t="s">
        <v>38</v>
      </c>
      <c r="F13" s="120" t="s">
        <v>28</v>
      </c>
      <c r="G13" s="120" t="s">
        <v>39</v>
      </c>
      <c r="H13" s="120" t="s">
        <v>40</v>
      </c>
      <c r="K13" s="22" t="s">
        <v>41</v>
      </c>
      <c r="L13" s="22" t="s">
        <v>42</v>
      </c>
      <c r="M13" s="22" t="s">
        <v>43</v>
      </c>
      <c r="N13" s="36" t="s">
        <v>34</v>
      </c>
      <c r="Q13" s="74"/>
    </row>
    <row r="14" spans="1:21" s="117" customFormat="1" ht="15" customHeight="1">
      <c r="A14" s="68"/>
      <c r="B14" s="73"/>
      <c r="C14" s="20" t="s">
        <v>42</v>
      </c>
      <c r="D14" s="225">
        <v>0</v>
      </c>
      <c r="E14" s="226"/>
      <c r="F14" s="225">
        <v>241</v>
      </c>
      <c r="G14" s="226">
        <v>37.838174273858918</v>
      </c>
      <c r="H14" s="227"/>
      <c r="K14" s="20" t="s">
        <v>44</v>
      </c>
      <c r="L14" s="23">
        <v>9</v>
      </c>
      <c r="M14" s="24">
        <v>58</v>
      </c>
      <c r="N14" s="34">
        <v>67</v>
      </c>
      <c r="Q14" s="74"/>
    </row>
    <row r="15" spans="1:21" s="117" customFormat="1" ht="15" customHeight="1">
      <c r="A15" s="68"/>
      <c r="B15" s="73"/>
      <c r="C15" s="228" t="s">
        <v>43</v>
      </c>
      <c r="D15" s="229">
        <v>0</v>
      </c>
      <c r="E15" s="230"/>
      <c r="F15" s="229">
        <v>2220</v>
      </c>
      <c r="G15" s="230">
        <v>43.163063063063063</v>
      </c>
      <c r="H15" s="231"/>
      <c r="K15" s="20" t="s">
        <v>45</v>
      </c>
      <c r="L15" s="23">
        <v>53</v>
      </c>
      <c r="M15" s="24">
        <v>287</v>
      </c>
      <c r="N15" s="34">
        <v>340</v>
      </c>
      <c r="Q15" s="74"/>
    </row>
    <row r="16" spans="1:21" s="117" customFormat="1" ht="15" customHeight="1">
      <c r="A16" s="68"/>
      <c r="B16" s="73"/>
      <c r="C16" s="246" t="s">
        <v>34</v>
      </c>
      <c r="D16" s="247">
        <v>0</v>
      </c>
      <c r="E16" s="248"/>
      <c r="F16" s="247">
        <v>2461</v>
      </c>
      <c r="G16" s="248">
        <v>42.641609101991058</v>
      </c>
      <c r="H16" s="249"/>
      <c r="K16" s="20" t="s">
        <v>46</v>
      </c>
      <c r="L16" s="23">
        <v>74</v>
      </c>
      <c r="M16" s="24">
        <v>322</v>
      </c>
      <c r="N16" s="34">
        <v>396</v>
      </c>
      <c r="Q16" s="74"/>
    </row>
    <row r="17" spans="1:17" s="117" customFormat="1" ht="15" customHeight="1">
      <c r="A17" s="68"/>
      <c r="B17" s="73"/>
      <c r="K17" s="20" t="s">
        <v>47</v>
      </c>
      <c r="L17" s="23">
        <v>27</v>
      </c>
      <c r="M17" s="24">
        <v>310</v>
      </c>
      <c r="N17" s="34">
        <v>337</v>
      </c>
      <c r="Q17" s="74"/>
    </row>
    <row r="18" spans="1:17" ht="15" customHeight="1">
      <c r="A18" s="8"/>
      <c r="B18" s="4"/>
      <c r="C18" s="5"/>
      <c r="D18" s="5"/>
      <c r="E18" s="5"/>
      <c r="F18" s="5"/>
      <c r="G18" s="5"/>
      <c r="H18" s="5"/>
      <c r="I18" s="5"/>
      <c r="J18" s="5"/>
      <c r="K18" s="20" t="s">
        <v>48</v>
      </c>
      <c r="L18" s="23">
        <v>16</v>
      </c>
      <c r="M18" s="24">
        <v>243</v>
      </c>
      <c r="N18" s="34">
        <v>259</v>
      </c>
      <c r="O18" s="5"/>
      <c r="P18" s="5"/>
      <c r="Q18" s="65"/>
    </row>
    <row r="19" spans="1:17" ht="15" customHeight="1">
      <c r="A19" s="8"/>
      <c r="B19" s="4"/>
      <c r="C19" s="5"/>
      <c r="D19" s="5"/>
      <c r="E19" s="5"/>
      <c r="F19" s="5"/>
      <c r="G19" s="5"/>
      <c r="H19" s="5"/>
      <c r="I19" s="5"/>
      <c r="J19" s="5"/>
      <c r="K19" s="20" t="s">
        <v>49</v>
      </c>
      <c r="L19" s="23">
        <v>21</v>
      </c>
      <c r="M19" s="24">
        <v>236</v>
      </c>
      <c r="N19" s="34">
        <v>257</v>
      </c>
      <c r="O19" s="5"/>
      <c r="P19" s="5"/>
      <c r="Q19" s="65"/>
    </row>
    <row r="20" spans="1:17" ht="15" customHeight="1">
      <c r="A20" s="8"/>
      <c r="B20" s="4"/>
      <c r="C20" s="5"/>
      <c r="D20" s="5"/>
      <c r="E20" s="5"/>
      <c r="F20" s="5"/>
      <c r="G20" s="5"/>
      <c r="H20" s="5"/>
      <c r="I20" s="5"/>
      <c r="J20" s="5"/>
      <c r="K20" s="20" t="s">
        <v>50</v>
      </c>
      <c r="L20" s="23">
        <v>12</v>
      </c>
      <c r="M20" s="24">
        <v>283</v>
      </c>
      <c r="N20" s="34">
        <v>295</v>
      </c>
      <c r="O20" s="5"/>
      <c r="P20" s="5"/>
      <c r="Q20" s="65"/>
    </row>
    <row r="21" spans="1:17" ht="15" customHeight="1">
      <c r="A21" s="8"/>
      <c r="B21" s="4"/>
      <c r="C21" s="5"/>
      <c r="D21" s="5"/>
      <c r="E21" s="5"/>
      <c r="F21" s="5"/>
      <c r="G21" s="5"/>
      <c r="H21" s="5"/>
      <c r="I21" s="5"/>
      <c r="J21" s="5"/>
      <c r="K21" s="20" t="s">
        <v>51</v>
      </c>
      <c r="L21" s="23">
        <v>11</v>
      </c>
      <c r="M21" s="24">
        <v>249</v>
      </c>
      <c r="N21" s="34">
        <v>260</v>
      </c>
      <c r="O21" s="5"/>
      <c r="P21" s="5"/>
      <c r="Q21" s="65"/>
    </row>
    <row r="22" spans="1:17" ht="15" customHeight="1">
      <c r="A22" s="8"/>
      <c r="B22" s="4"/>
      <c r="C22" s="5"/>
      <c r="D22" s="5"/>
      <c r="E22" s="5"/>
      <c r="F22" s="5"/>
      <c r="G22" s="5"/>
      <c r="H22" s="5"/>
      <c r="I22" s="5"/>
      <c r="J22" s="5"/>
      <c r="K22" s="20" t="s">
        <v>52</v>
      </c>
      <c r="L22" s="23">
        <v>18</v>
      </c>
      <c r="M22" s="24">
        <v>232</v>
      </c>
      <c r="N22" s="34">
        <v>250</v>
      </c>
      <c r="O22" s="5"/>
      <c r="P22" s="5"/>
      <c r="Q22" s="65"/>
    </row>
    <row r="23" spans="1:17" ht="15" customHeight="1">
      <c r="A23" s="8"/>
      <c r="B23" s="4"/>
      <c r="C23" s="5"/>
      <c r="D23" s="5"/>
      <c r="E23" s="5"/>
      <c r="F23" s="5"/>
      <c r="G23" s="5"/>
      <c r="H23" s="5"/>
      <c r="I23" s="5"/>
      <c r="J23" s="5"/>
      <c r="K23" s="21" t="s">
        <v>34</v>
      </c>
      <c r="L23" s="25">
        <v>241</v>
      </c>
      <c r="M23" s="26">
        <v>2220</v>
      </c>
      <c r="N23" s="35">
        <v>2461</v>
      </c>
      <c r="O23" s="5"/>
      <c r="P23" s="5"/>
      <c r="Q23" s="65"/>
    </row>
    <row r="24" spans="1:17" ht="15" customHeight="1">
      <c r="A24" s="8"/>
      <c r="B24" s="4"/>
      <c r="C24" s="5"/>
      <c r="D24" s="5"/>
      <c r="E24" s="5"/>
      <c r="F24" s="5"/>
      <c r="G24" s="5"/>
      <c r="H24" s="5"/>
      <c r="I24" s="5"/>
      <c r="J24" s="5"/>
      <c r="O24" s="5"/>
      <c r="P24" s="5"/>
      <c r="Q24" s="65"/>
    </row>
    <row r="25" spans="1:17" ht="15" customHeight="1">
      <c r="A25" s="8"/>
      <c r="B25" s="4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65"/>
    </row>
    <row r="26" spans="1:17" ht="15" customHeight="1">
      <c r="A26" s="8"/>
      <c r="B26" s="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65"/>
    </row>
    <row r="27" spans="1:17" ht="15" customHeight="1">
      <c r="A27" s="8"/>
      <c r="B27" s="4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65"/>
    </row>
    <row r="28" spans="1:17" ht="15" customHeight="1">
      <c r="A28" s="8"/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65"/>
    </row>
    <row r="29" spans="1:17" ht="15" customHeight="1">
      <c r="A29" s="8"/>
      <c r="B29" s="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65"/>
    </row>
    <row r="30" spans="1:17">
      <c r="A30" s="8"/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65"/>
    </row>
    <row r="31" spans="1:17" ht="12" customHeight="1">
      <c r="A31" s="8"/>
      <c r="B31" s="4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65"/>
    </row>
    <row r="32" spans="1:17" ht="15" customHeight="1">
      <c r="A32" s="8"/>
      <c r="B32" s="4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65"/>
    </row>
    <row r="33" spans="1:17" ht="15" customHeight="1">
      <c r="A33" s="8"/>
      <c r="B33" s="4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65"/>
    </row>
    <row r="34" spans="1:17" s="117" customFormat="1" ht="15" customHeight="1">
      <c r="A34" s="68"/>
      <c r="B34" s="73"/>
      <c r="C34" s="170" t="s">
        <v>53</v>
      </c>
      <c r="K34" s="264"/>
      <c r="L34" s="265"/>
      <c r="M34" s="265"/>
      <c r="N34" s="265"/>
      <c r="O34" s="265"/>
      <c r="P34" s="266"/>
      <c r="Q34" s="74"/>
    </row>
    <row r="35" spans="1:17" s="117" customFormat="1" ht="15" customHeight="1">
      <c r="A35" s="68"/>
      <c r="B35" s="73"/>
      <c r="K35" s="267"/>
      <c r="L35" s="268"/>
      <c r="M35" s="268"/>
      <c r="N35" s="268"/>
      <c r="O35" s="268"/>
      <c r="P35" s="269"/>
      <c r="Q35" s="74"/>
    </row>
    <row r="36" spans="1:17" s="117" customFormat="1" ht="30" customHeight="1">
      <c r="A36" s="68"/>
      <c r="B36" s="73"/>
      <c r="C36" s="18"/>
      <c r="D36" s="171" t="s">
        <v>54</v>
      </c>
      <c r="E36" s="172" t="s">
        <v>55</v>
      </c>
      <c r="K36" s="267"/>
      <c r="L36" s="268"/>
      <c r="M36" s="268"/>
      <c r="N36" s="268"/>
      <c r="O36" s="268"/>
      <c r="P36" s="269"/>
      <c r="Q36" s="74"/>
    </row>
    <row r="37" spans="1:17" s="117" customFormat="1" ht="15" customHeight="1">
      <c r="A37" s="68"/>
      <c r="B37" s="73"/>
      <c r="C37" s="173" t="s">
        <v>56</v>
      </c>
      <c r="D37" s="27">
        <v>2461</v>
      </c>
      <c r="E37" s="28">
        <v>42.641609101991058</v>
      </c>
      <c r="K37" s="267"/>
      <c r="L37" s="268"/>
      <c r="M37" s="268"/>
      <c r="N37" s="268"/>
      <c r="O37" s="268"/>
      <c r="P37" s="269"/>
      <c r="Q37" s="74"/>
    </row>
    <row r="38" spans="1:17" s="117" customFormat="1" ht="15" customHeight="1">
      <c r="A38" s="68"/>
      <c r="B38" s="73"/>
      <c r="C38" s="174" t="s">
        <v>57</v>
      </c>
      <c r="D38" s="29">
        <v>34</v>
      </c>
      <c r="E38" s="30">
        <v>48.264705882352942</v>
      </c>
      <c r="K38" s="267"/>
      <c r="L38" s="268"/>
      <c r="M38" s="268"/>
      <c r="N38" s="268"/>
      <c r="O38" s="268"/>
      <c r="P38" s="269"/>
      <c r="Q38" s="74"/>
    </row>
    <row r="39" spans="1:17" s="117" customFormat="1" ht="15" customHeight="1">
      <c r="A39" s="68"/>
      <c r="B39" s="73"/>
      <c r="C39" s="175" t="s">
        <v>58</v>
      </c>
      <c r="D39" s="29">
        <v>314</v>
      </c>
      <c r="E39" s="30">
        <v>17.066878980891719</v>
      </c>
      <c r="K39" s="267"/>
      <c r="L39" s="268"/>
      <c r="M39" s="268"/>
      <c r="N39" s="268"/>
      <c r="O39" s="268"/>
      <c r="P39" s="269"/>
      <c r="Q39" s="74"/>
    </row>
    <row r="40" spans="1:17" s="117" customFormat="1" ht="15" customHeight="1">
      <c r="A40" s="68"/>
      <c r="B40" s="73"/>
      <c r="C40" s="176" t="s">
        <v>34</v>
      </c>
      <c r="D40" s="31">
        <v>2809</v>
      </c>
      <c r="E40" s="32"/>
      <c r="K40" s="267"/>
      <c r="L40" s="268"/>
      <c r="M40" s="268"/>
      <c r="N40" s="268"/>
      <c r="O40" s="268"/>
      <c r="P40" s="269"/>
      <c r="Q40" s="74"/>
    </row>
    <row r="41" spans="1:17" s="117" customFormat="1" ht="15" customHeight="1">
      <c r="A41" s="68"/>
      <c r="B41" s="73"/>
      <c r="C41" s="1"/>
      <c r="D41" s="1"/>
      <c r="E41" s="1"/>
      <c r="K41" s="267"/>
      <c r="L41" s="268"/>
      <c r="M41" s="268"/>
      <c r="N41" s="268"/>
      <c r="O41" s="268"/>
      <c r="P41" s="269"/>
      <c r="Q41" s="74"/>
    </row>
    <row r="42" spans="1:17" s="117" customFormat="1" ht="15" customHeight="1">
      <c r="A42" s="68"/>
      <c r="B42" s="73"/>
      <c r="C42" s="176" t="s">
        <v>59</v>
      </c>
      <c r="D42" s="33"/>
      <c r="E42" s="177">
        <f>D40/F16</f>
        <v>1.1414059325477448</v>
      </c>
      <c r="K42" s="270"/>
      <c r="L42" s="271"/>
      <c r="M42" s="271"/>
      <c r="N42" s="271"/>
      <c r="O42" s="271"/>
      <c r="P42" s="272"/>
      <c r="Q42" s="74"/>
    </row>
    <row r="43" spans="1:17" ht="15" customHeight="1">
      <c r="A43" s="8"/>
      <c r="B43" s="4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65"/>
    </row>
    <row r="44" spans="1:17" ht="15" customHeight="1">
      <c r="A44" s="8"/>
      <c r="B44" s="4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65"/>
    </row>
    <row r="45" spans="1:17" ht="15" customHeight="1">
      <c r="A45" s="8"/>
      <c r="B45" s="4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65"/>
    </row>
    <row r="46" spans="1:17" s="121" customFormat="1" ht="15" customHeight="1">
      <c r="B46" s="125"/>
      <c r="C46" s="121" t="s">
        <v>60</v>
      </c>
      <c r="Q46" s="126"/>
    </row>
    <row r="47" spans="1:17" ht="15" customHeight="1">
      <c r="A47" s="8"/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66"/>
    </row>
    <row r="48" spans="1:17" ht="15" customHeight="1">
      <c r="A48" s="8"/>
    </row>
  </sheetData>
  <mergeCells count="2">
    <mergeCell ref="K34:P42"/>
    <mergeCell ref="C8:P8"/>
  </mergeCells>
  <pageMargins left="0.7" right="0.7" top="0.75" bottom="0.75" header="0.3" footer="0.3"/>
  <pageSetup paperSize="9" scale="34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8">
    <tabColor theme="4" tint="0.79998168889431442"/>
  </sheetPr>
  <dimension ref="A1:V132"/>
  <sheetViews>
    <sheetView showGridLines="0" topLeftCell="A65" zoomScale="70" zoomScaleNormal="70" workbookViewId="0">
      <selection activeCell="A79" sqref="A79:XFD79"/>
    </sheetView>
  </sheetViews>
  <sheetFormatPr baseColWidth="10" defaultColWidth="11.42578125" defaultRowHeight="15"/>
  <cols>
    <col min="1" max="1" width="2.85546875" style="108" customWidth="1"/>
    <col min="2" max="2" width="4.28515625" style="117" customWidth="1"/>
    <col min="3" max="3" width="10" style="117" customWidth="1"/>
    <col min="4" max="4" width="50.7109375" style="117" bestFit="1" customWidth="1"/>
    <col min="5" max="5" width="10.7109375" style="117" customWidth="1"/>
    <col min="6" max="11" width="14.28515625" style="117" customWidth="1"/>
    <col min="12" max="12" width="15.7109375" style="117" customWidth="1"/>
    <col min="13" max="13" width="10.7109375" style="117" customWidth="1"/>
    <col min="14" max="14" width="1.42578125" style="117" customWidth="1"/>
    <col min="15" max="15" width="14.28515625" style="117" customWidth="1"/>
    <col min="16" max="16" width="15.7109375" style="117" customWidth="1"/>
    <col min="17" max="17" width="10.7109375" style="117" customWidth="1"/>
    <col min="18" max="18" width="4.28515625" style="117" customWidth="1"/>
    <col min="19" max="19" width="2.85546875" style="117" customWidth="1"/>
    <col min="20" max="21" width="11.42578125" style="117" customWidth="1"/>
    <col min="22" max="22" width="16.7109375" style="117" bestFit="1" customWidth="1"/>
    <col min="23" max="26" width="11.42578125" style="117" customWidth="1"/>
    <col min="27" max="16384" width="11.42578125" style="117"/>
  </cols>
  <sheetData>
    <row r="1" spans="1:22"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</row>
    <row r="2" spans="1:22" ht="15" customHeight="1">
      <c r="B2" s="69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1"/>
      <c r="V2" s="41"/>
    </row>
    <row r="3" spans="1:22" ht="15" customHeight="1">
      <c r="B3" s="73"/>
      <c r="R3" s="74"/>
    </row>
    <row r="4" spans="1:22" ht="15" customHeight="1">
      <c r="B4" s="73"/>
      <c r="R4" s="74"/>
    </row>
    <row r="5" spans="1:22" ht="15" customHeight="1">
      <c r="B5" s="73"/>
      <c r="R5" s="74"/>
    </row>
    <row r="6" spans="1:22" ht="15" customHeight="1" thickBot="1">
      <c r="B6" s="73"/>
      <c r="R6" s="74"/>
    </row>
    <row r="7" spans="1:22" ht="15" hidden="1" customHeight="1">
      <c r="B7" s="73"/>
      <c r="R7" s="74"/>
    </row>
    <row r="8" spans="1:22" ht="60" customHeight="1" thickBot="1">
      <c r="B8" s="73"/>
      <c r="C8" s="255" t="str">
        <f>'Page de garde'!C13&amp;" : Détail des Prestations Réglées - Synthèse par famille d'actes"</f>
        <v>CONFORT : Détail des Prestations Réglées - Synthèse par famille d'actes</v>
      </c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7"/>
      <c r="R8" s="74"/>
    </row>
    <row r="9" spans="1:22">
      <c r="B9" s="73"/>
      <c r="R9" s="74"/>
    </row>
    <row r="10" spans="1:22">
      <c r="B10" s="73"/>
      <c r="R10" s="74"/>
    </row>
    <row r="11" spans="1:22">
      <c r="B11" s="73"/>
      <c r="R11" s="74"/>
    </row>
    <row r="12" spans="1:22">
      <c r="B12" s="73"/>
      <c r="C12" s="39"/>
      <c r="D12" s="39"/>
      <c r="E12" s="273" t="s">
        <v>61</v>
      </c>
      <c r="F12" s="274"/>
      <c r="G12" s="274"/>
      <c r="H12" s="274"/>
      <c r="I12" s="274"/>
      <c r="J12" s="274"/>
      <c r="K12" s="274"/>
      <c r="L12" s="274"/>
      <c r="M12" s="275"/>
      <c r="N12" s="37"/>
      <c r="O12" s="273" t="s">
        <v>62</v>
      </c>
      <c r="P12" s="274"/>
      <c r="Q12" s="275"/>
      <c r="R12" s="74"/>
    </row>
    <row r="13" spans="1:22">
      <c r="B13" s="73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7"/>
      <c r="O13" s="39"/>
      <c r="P13" s="39"/>
      <c r="Q13" s="39"/>
      <c r="R13" s="74"/>
    </row>
    <row r="14" spans="1:22" ht="45" customHeight="1">
      <c r="B14" s="73"/>
      <c r="C14" s="39"/>
      <c r="D14" s="39"/>
      <c r="E14" s="178" t="s">
        <v>63</v>
      </c>
      <c r="F14" s="178" t="s">
        <v>64</v>
      </c>
      <c r="G14" s="179" t="s">
        <v>65</v>
      </c>
      <c r="H14" s="178" t="s">
        <v>66</v>
      </c>
      <c r="I14" s="178" t="s">
        <v>67</v>
      </c>
      <c r="J14" s="178" t="s">
        <v>68</v>
      </c>
      <c r="K14" s="180" t="s">
        <v>69</v>
      </c>
      <c r="L14" s="180" t="s">
        <v>70</v>
      </c>
      <c r="M14" s="180" t="s">
        <v>71</v>
      </c>
      <c r="N14" s="37"/>
      <c r="O14" s="221" t="s">
        <v>69</v>
      </c>
      <c r="P14" s="221" t="s">
        <v>70</v>
      </c>
      <c r="Q14" s="180" t="s">
        <v>71</v>
      </c>
      <c r="R14" s="74"/>
    </row>
    <row r="15" spans="1:22" s="203" customFormat="1" ht="15" customHeight="1" thickBot="1">
      <c r="A15" s="197"/>
      <c r="B15" s="198"/>
      <c r="C15" s="199" t="s">
        <v>72</v>
      </c>
      <c r="D15" s="200"/>
      <c r="E15" s="100">
        <v>6482</v>
      </c>
      <c r="F15" s="112">
        <v>2.3075827696689215</v>
      </c>
      <c r="G15" s="101">
        <v>260131.75999999908</v>
      </c>
      <c r="H15" s="101">
        <v>106754.17000000039</v>
      </c>
      <c r="I15" s="101">
        <v>136368.28</v>
      </c>
      <c r="J15" s="101">
        <v>-65691.029999999926</v>
      </c>
      <c r="K15" s="101">
        <v>-10.13437673557544</v>
      </c>
      <c r="L15" s="102">
        <v>-7.7080840282274021E-2</v>
      </c>
      <c r="M15" s="102">
        <v>0.68208287984519844</v>
      </c>
      <c r="N15" s="201"/>
      <c r="O15" s="101">
        <v>0</v>
      </c>
      <c r="P15" s="102">
        <v>0</v>
      </c>
      <c r="Q15" s="102">
        <v>0</v>
      </c>
      <c r="R15" s="202"/>
      <c r="T15" s="223"/>
    </row>
    <row r="16" spans="1:22" s="203" customFormat="1" ht="15" customHeight="1" thickBot="1">
      <c r="A16" s="197"/>
      <c r="B16" s="198"/>
      <c r="C16" s="212"/>
      <c r="D16" s="213" t="s">
        <v>73</v>
      </c>
      <c r="E16" s="193">
        <v>1067</v>
      </c>
      <c r="F16" s="194">
        <v>0.37985048059807763</v>
      </c>
      <c r="G16" s="195">
        <v>23882.519999999498</v>
      </c>
      <c r="H16" s="195">
        <v>16635.87</v>
      </c>
      <c r="I16" s="195">
        <v>45.96</v>
      </c>
      <c r="J16" s="195">
        <v>7174.8900000000804</v>
      </c>
      <c r="K16" s="195">
        <v>6.7243580131209004</v>
      </c>
      <c r="L16" s="196">
        <v>8.4189051402129809E-3</v>
      </c>
      <c r="M16" s="196">
        <v>0.99891971199019203</v>
      </c>
      <c r="N16" s="214"/>
      <c r="O16" s="195">
        <v>0</v>
      </c>
      <c r="P16" s="196">
        <v>0</v>
      </c>
      <c r="Q16" s="196">
        <v>0</v>
      </c>
      <c r="R16" s="202"/>
      <c r="T16" s="223"/>
    </row>
    <row r="17" spans="1:20" s="203" customFormat="1" ht="15" customHeight="1" thickBot="1">
      <c r="A17" s="197"/>
      <c r="B17" s="198"/>
      <c r="C17" s="212"/>
      <c r="D17" s="213" t="s">
        <v>74</v>
      </c>
      <c r="E17" s="193">
        <v>2644</v>
      </c>
      <c r="F17" s="194">
        <v>0.94126023495906019</v>
      </c>
      <c r="G17" s="195">
        <v>95861.469999999696</v>
      </c>
      <c r="H17" s="195">
        <v>42043.800000000199</v>
      </c>
      <c r="I17" s="195">
        <v>132221.89000000001</v>
      </c>
      <c r="J17" s="195">
        <v>-145508.34</v>
      </c>
      <c r="K17" s="195">
        <v>-55.033411497730711</v>
      </c>
      <c r="L17" s="196">
        <v>-0.1707372393959849</v>
      </c>
      <c r="M17" s="196">
        <v>0.29998861899363738</v>
      </c>
      <c r="N17" s="214"/>
      <c r="O17" s="195">
        <v>0</v>
      </c>
      <c r="P17" s="196">
        <v>0</v>
      </c>
      <c r="Q17" s="196">
        <v>0</v>
      </c>
      <c r="R17" s="202"/>
      <c r="T17" s="223"/>
    </row>
    <row r="18" spans="1:20" s="203" customFormat="1" ht="15" customHeight="1" thickBot="1">
      <c r="A18" s="197"/>
      <c r="B18" s="198"/>
      <c r="C18" s="212"/>
      <c r="D18" s="213" t="s">
        <v>75</v>
      </c>
      <c r="E18" s="193">
        <v>2148</v>
      </c>
      <c r="F18" s="194">
        <v>0.76468494126023501</v>
      </c>
      <c r="G18" s="195">
        <v>97236.759999999893</v>
      </c>
      <c r="H18" s="195">
        <v>46814.500000000196</v>
      </c>
      <c r="I18" s="195">
        <v>1602.43</v>
      </c>
      <c r="J18" s="195">
        <v>38630.410000000003</v>
      </c>
      <c r="K18" s="195">
        <v>17.984362197392926</v>
      </c>
      <c r="L18" s="196">
        <v>4.5328326610935492E-2</v>
      </c>
      <c r="M18" s="196">
        <v>0.89521020651037742</v>
      </c>
      <c r="N18" s="214"/>
      <c r="O18" s="195">
        <v>0</v>
      </c>
      <c r="P18" s="196">
        <v>0</v>
      </c>
      <c r="Q18" s="196">
        <v>0</v>
      </c>
      <c r="R18" s="202"/>
      <c r="T18" s="223"/>
    </row>
    <row r="19" spans="1:20" s="203" customFormat="1" ht="15" customHeight="1" thickBot="1">
      <c r="A19" s="197"/>
      <c r="B19" s="198"/>
      <c r="C19" s="212"/>
      <c r="D19" s="213" t="s">
        <v>76</v>
      </c>
      <c r="E19" s="193">
        <v>1</v>
      </c>
      <c r="F19" s="194">
        <v>3.55998576005696E-4</v>
      </c>
      <c r="G19" s="195">
        <v>180</v>
      </c>
      <c r="H19" s="195">
        <v>0</v>
      </c>
      <c r="I19" s="195">
        <v>0</v>
      </c>
      <c r="J19" s="195">
        <v>180</v>
      </c>
      <c r="K19" s="195">
        <v>180</v>
      </c>
      <c r="L19" s="196">
        <v>2.1120922066238457E-4</v>
      </c>
      <c r="M19" s="196">
        <v>1</v>
      </c>
      <c r="N19" s="214"/>
      <c r="O19" s="195">
        <v>0</v>
      </c>
      <c r="P19" s="196">
        <v>0</v>
      </c>
      <c r="Q19" s="196">
        <v>0</v>
      </c>
      <c r="R19" s="202"/>
      <c r="T19" s="223"/>
    </row>
    <row r="20" spans="1:20" s="203" customFormat="1" ht="15" customHeight="1" thickBot="1">
      <c r="A20" s="197"/>
      <c r="B20" s="198"/>
      <c r="C20" s="212"/>
      <c r="D20" s="213" t="s">
        <v>77</v>
      </c>
      <c r="E20" s="193">
        <v>608</v>
      </c>
      <c r="F20" s="194">
        <v>0.21644713421146317</v>
      </c>
      <c r="G20" s="195">
        <v>33411.01</v>
      </c>
      <c r="H20" s="195">
        <v>0</v>
      </c>
      <c r="I20" s="195">
        <v>1098</v>
      </c>
      <c r="J20" s="195">
        <v>30332.01</v>
      </c>
      <c r="K20" s="195">
        <v>49.888174342105259</v>
      </c>
      <c r="L20" s="196">
        <v>3.5591112184575863E-2</v>
      </c>
      <c r="M20" s="196">
        <v>0.94070816775667654</v>
      </c>
      <c r="N20" s="214"/>
      <c r="O20" s="195">
        <v>0</v>
      </c>
      <c r="P20" s="196">
        <v>0</v>
      </c>
      <c r="Q20" s="196">
        <v>0</v>
      </c>
      <c r="R20" s="202"/>
      <c r="T20" s="223"/>
    </row>
    <row r="21" spans="1:20" s="203" customFormat="1" ht="15" customHeight="1" thickBot="1">
      <c r="A21" s="197"/>
      <c r="B21" s="198"/>
      <c r="C21" s="212"/>
      <c r="D21" s="213" t="s">
        <v>78</v>
      </c>
      <c r="E21" s="193">
        <v>14</v>
      </c>
      <c r="F21" s="194">
        <v>4.9839800640797439E-3</v>
      </c>
      <c r="G21" s="195">
        <v>9560</v>
      </c>
      <c r="H21" s="195">
        <v>1260</v>
      </c>
      <c r="I21" s="195">
        <v>1400</v>
      </c>
      <c r="J21" s="195">
        <v>3500</v>
      </c>
      <c r="K21" s="195">
        <v>250</v>
      </c>
      <c r="L21" s="196">
        <v>4.1068459573241449E-3</v>
      </c>
      <c r="M21" s="196">
        <v>0.64435146443514646</v>
      </c>
      <c r="N21" s="214"/>
      <c r="O21" s="195">
        <v>0</v>
      </c>
      <c r="P21" s="196">
        <v>0</v>
      </c>
      <c r="Q21" s="196">
        <v>0</v>
      </c>
      <c r="R21" s="202"/>
      <c r="T21" s="223"/>
    </row>
    <row r="22" spans="1:20" s="203" customFormat="1" ht="15" customHeight="1" thickBot="1">
      <c r="A22" s="197"/>
      <c r="B22" s="198"/>
      <c r="C22" s="199" t="s">
        <v>79</v>
      </c>
      <c r="D22" s="200"/>
      <c r="E22" s="100">
        <v>24</v>
      </c>
      <c r="F22" s="112">
        <v>8.5439658241367039E-3</v>
      </c>
      <c r="G22" s="101">
        <v>1320</v>
      </c>
      <c r="H22" s="101">
        <v>168</v>
      </c>
      <c r="I22" s="101">
        <v>200</v>
      </c>
      <c r="J22" s="101">
        <v>480</v>
      </c>
      <c r="K22" s="101">
        <v>20</v>
      </c>
      <c r="L22" s="102">
        <v>5.6322458843302548E-4</v>
      </c>
      <c r="M22" s="102">
        <v>0.64242424242424245</v>
      </c>
      <c r="N22" s="201"/>
      <c r="O22" s="101">
        <v>0</v>
      </c>
      <c r="P22" s="102">
        <v>0</v>
      </c>
      <c r="Q22" s="102">
        <v>0</v>
      </c>
      <c r="R22" s="202"/>
      <c r="T22" s="223"/>
    </row>
    <row r="23" spans="1:20" s="203" customFormat="1" ht="15" customHeight="1" thickBot="1">
      <c r="A23" s="197"/>
      <c r="B23" s="198"/>
      <c r="C23" s="212"/>
      <c r="D23" s="213" t="s">
        <v>80</v>
      </c>
      <c r="E23" s="193">
        <v>24</v>
      </c>
      <c r="F23" s="194">
        <v>8.5439658241367039E-3</v>
      </c>
      <c r="G23" s="195">
        <v>1320</v>
      </c>
      <c r="H23" s="195">
        <v>168</v>
      </c>
      <c r="I23" s="195">
        <v>200</v>
      </c>
      <c r="J23" s="195">
        <v>480</v>
      </c>
      <c r="K23" s="195">
        <v>20</v>
      </c>
      <c r="L23" s="196">
        <v>5.6322458843302548E-4</v>
      </c>
      <c r="M23" s="196">
        <v>0.64242424242424245</v>
      </c>
      <c r="N23" s="214"/>
      <c r="O23" s="195">
        <v>0</v>
      </c>
      <c r="P23" s="196">
        <v>0</v>
      </c>
      <c r="Q23" s="196">
        <v>0</v>
      </c>
      <c r="R23" s="202"/>
      <c r="T23" s="223"/>
    </row>
    <row r="24" spans="1:20" s="203" customFormat="1" ht="15" customHeight="1" thickBot="1">
      <c r="A24" s="197"/>
      <c r="B24" s="198"/>
      <c r="C24" s="199" t="s">
        <v>81</v>
      </c>
      <c r="D24" s="200"/>
      <c r="E24" s="100">
        <v>1894</v>
      </c>
      <c r="F24" s="112">
        <v>0.67426130295478814</v>
      </c>
      <c r="G24" s="101">
        <v>476788.7800000002</v>
      </c>
      <c r="H24" s="101">
        <v>98010.459999999992</v>
      </c>
      <c r="I24" s="101">
        <v>46218.18</v>
      </c>
      <c r="J24" s="101">
        <v>205060.53</v>
      </c>
      <c r="K24" s="101">
        <v>108.26849524815206</v>
      </c>
      <c r="L24" s="102">
        <v>0.24061485961064183</v>
      </c>
      <c r="M24" s="102">
        <v>0.7325868070972642</v>
      </c>
      <c r="N24" s="201"/>
      <c r="O24" s="101">
        <v>0</v>
      </c>
      <c r="P24" s="102">
        <v>0</v>
      </c>
      <c r="Q24" s="102">
        <v>0</v>
      </c>
      <c r="R24" s="202"/>
      <c r="T24" s="223"/>
    </row>
    <row r="25" spans="1:20" s="203" customFormat="1" ht="15" customHeight="1" thickBot="1">
      <c r="A25" s="197"/>
      <c r="B25" s="198"/>
      <c r="C25" s="212"/>
      <c r="D25" s="213" t="s">
        <v>82</v>
      </c>
      <c r="E25" s="193">
        <v>120</v>
      </c>
      <c r="F25" s="194">
        <v>4.271982912068352E-2</v>
      </c>
      <c r="G25" s="195">
        <v>8727.0799999999908</v>
      </c>
      <c r="H25" s="195">
        <v>4775.5899999999901</v>
      </c>
      <c r="I25" s="195">
        <v>50</v>
      </c>
      <c r="J25" s="195">
        <v>2581.4899999999998</v>
      </c>
      <c r="K25" s="195">
        <v>21.512416666666663</v>
      </c>
      <c r="L25" s="196">
        <v>3.0290805058207728E-3</v>
      </c>
      <c r="M25" s="196">
        <v>0.84874665982207109</v>
      </c>
      <c r="N25" s="214"/>
      <c r="O25" s="195">
        <v>0</v>
      </c>
      <c r="P25" s="196">
        <v>0</v>
      </c>
      <c r="Q25" s="196">
        <v>0</v>
      </c>
      <c r="R25" s="202"/>
      <c r="T25" s="223"/>
    </row>
    <row r="26" spans="1:20" s="203" customFormat="1" ht="15" customHeight="1" thickBot="1">
      <c r="A26" s="197"/>
      <c r="B26" s="198"/>
      <c r="C26" s="212"/>
      <c r="D26" s="213" t="s">
        <v>83</v>
      </c>
      <c r="E26" s="193">
        <v>49</v>
      </c>
      <c r="F26" s="194">
        <v>1.7443930224279102E-2</v>
      </c>
      <c r="G26" s="195">
        <v>1900</v>
      </c>
      <c r="H26" s="195">
        <v>231</v>
      </c>
      <c r="I26" s="195">
        <v>0</v>
      </c>
      <c r="J26" s="195">
        <v>1669</v>
      </c>
      <c r="K26" s="195">
        <v>34.061224489795919</v>
      </c>
      <c r="L26" s="196">
        <v>1.9583788293639991E-3</v>
      </c>
      <c r="M26" s="196">
        <v>1</v>
      </c>
      <c r="N26" s="214"/>
      <c r="O26" s="195">
        <v>0</v>
      </c>
      <c r="P26" s="196">
        <v>0</v>
      </c>
      <c r="Q26" s="196">
        <v>0</v>
      </c>
      <c r="R26" s="202"/>
      <c r="T26" s="223"/>
    </row>
    <row r="27" spans="1:20" s="203" customFormat="1" ht="15" customHeight="1" thickBot="1">
      <c r="A27" s="197"/>
      <c r="B27" s="198"/>
      <c r="C27" s="212"/>
      <c r="D27" s="213" t="s">
        <v>84</v>
      </c>
      <c r="E27" s="193">
        <v>99</v>
      </c>
      <c r="F27" s="194">
        <v>3.5243859024563902E-2</v>
      </c>
      <c r="G27" s="195">
        <v>5642</v>
      </c>
      <c r="H27" s="195">
        <v>693</v>
      </c>
      <c r="I27" s="195">
        <v>749</v>
      </c>
      <c r="J27" s="195">
        <v>2020</v>
      </c>
      <c r="K27" s="195">
        <v>20.404040404040405</v>
      </c>
      <c r="L27" s="196">
        <v>2.3702368096556489E-3</v>
      </c>
      <c r="M27" s="196">
        <v>0.61361219425735558</v>
      </c>
      <c r="N27" s="214"/>
      <c r="O27" s="195">
        <v>0</v>
      </c>
      <c r="P27" s="196">
        <v>0</v>
      </c>
      <c r="Q27" s="196">
        <v>0</v>
      </c>
      <c r="R27" s="202"/>
      <c r="T27" s="223"/>
    </row>
    <row r="28" spans="1:20" s="203" customFormat="1" ht="15" customHeight="1" thickBot="1">
      <c r="A28" s="197"/>
      <c r="B28" s="198"/>
      <c r="C28" s="212"/>
      <c r="D28" s="213" t="s">
        <v>85</v>
      </c>
      <c r="E28" s="193">
        <v>26</v>
      </c>
      <c r="F28" s="194">
        <v>9.2559629761480959E-3</v>
      </c>
      <c r="G28" s="195">
        <v>5280</v>
      </c>
      <c r="H28" s="195">
        <v>1008</v>
      </c>
      <c r="I28" s="195">
        <v>0</v>
      </c>
      <c r="J28" s="195">
        <v>4272</v>
      </c>
      <c r="K28" s="195">
        <v>164.30769230769232</v>
      </c>
      <c r="L28" s="196">
        <v>5.0126988370539274E-3</v>
      </c>
      <c r="M28" s="196">
        <v>1</v>
      </c>
      <c r="N28" s="214"/>
      <c r="O28" s="195">
        <v>0</v>
      </c>
      <c r="P28" s="196">
        <v>0</v>
      </c>
      <c r="Q28" s="196">
        <v>0</v>
      </c>
      <c r="R28" s="202"/>
      <c r="T28" s="223"/>
    </row>
    <row r="29" spans="1:20" s="203" customFormat="1" ht="15" customHeight="1" thickBot="1">
      <c r="A29" s="197"/>
      <c r="B29" s="198"/>
      <c r="C29" s="212"/>
      <c r="D29" s="213" t="s">
        <v>86</v>
      </c>
      <c r="E29" s="193">
        <v>10</v>
      </c>
      <c r="F29" s="194">
        <v>3.55998576005696E-3</v>
      </c>
      <c r="G29" s="195">
        <v>4400</v>
      </c>
      <c r="H29" s="195">
        <v>840</v>
      </c>
      <c r="I29" s="195">
        <v>720</v>
      </c>
      <c r="J29" s="195">
        <v>2028</v>
      </c>
      <c r="K29" s="195">
        <v>202.8</v>
      </c>
      <c r="L29" s="196">
        <v>2.379623886129533E-3</v>
      </c>
      <c r="M29" s="196">
        <v>0.81545454545454543</v>
      </c>
      <c r="N29" s="214"/>
      <c r="O29" s="195">
        <v>0</v>
      </c>
      <c r="P29" s="196">
        <v>0</v>
      </c>
      <c r="Q29" s="196">
        <v>0</v>
      </c>
      <c r="R29" s="202"/>
      <c r="T29" s="223"/>
    </row>
    <row r="30" spans="1:20" s="203" customFormat="1" ht="15" customHeight="1" thickBot="1">
      <c r="A30" s="197"/>
      <c r="B30" s="198"/>
      <c r="C30" s="212"/>
      <c r="D30" s="213" t="s">
        <v>87</v>
      </c>
      <c r="E30" s="193">
        <v>8</v>
      </c>
      <c r="F30" s="194">
        <v>2.847988608045568E-3</v>
      </c>
      <c r="G30" s="195">
        <v>3500</v>
      </c>
      <c r="H30" s="195">
        <v>643.65</v>
      </c>
      <c r="I30" s="195">
        <v>0</v>
      </c>
      <c r="J30" s="195">
        <v>2329.35</v>
      </c>
      <c r="K30" s="195">
        <v>291.16874999999999</v>
      </c>
      <c r="L30" s="196">
        <v>2.7332233230551416E-3</v>
      </c>
      <c r="M30" s="196">
        <v>0.84942857142857142</v>
      </c>
      <c r="N30" s="214"/>
      <c r="O30" s="195">
        <v>0</v>
      </c>
      <c r="P30" s="196">
        <v>0</v>
      </c>
      <c r="Q30" s="196">
        <v>0</v>
      </c>
      <c r="R30" s="202"/>
      <c r="T30" s="223"/>
    </row>
    <row r="31" spans="1:20" s="203" customFormat="1" ht="15" customHeight="1" thickBot="1">
      <c r="A31" s="197"/>
      <c r="B31" s="198"/>
      <c r="C31" s="212"/>
      <c r="D31" s="213" t="s">
        <v>88</v>
      </c>
      <c r="E31" s="193">
        <v>100</v>
      </c>
      <c r="F31" s="194">
        <v>3.55998576005696E-2</v>
      </c>
      <c r="G31" s="195">
        <v>76056</v>
      </c>
      <c r="H31" s="195">
        <v>4063.5</v>
      </c>
      <c r="I31" s="195">
        <v>8890</v>
      </c>
      <c r="J31" s="195">
        <v>30649</v>
      </c>
      <c r="K31" s="195">
        <v>306.49</v>
      </c>
      <c r="L31" s="196">
        <v>3.5963063356007914E-2</v>
      </c>
      <c r="M31" s="196">
        <v>0.57329467760597452</v>
      </c>
      <c r="N31" s="214"/>
      <c r="O31" s="195">
        <v>0</v>
      </c>
      <c r="P31" s="196">
        <v>0</v>
      </c>
      <c r="Q31" s="196">
        <v>0</v>
      </c>
      <c r="R31" s="202"/>
      <c r="T31" s="223"/>
    </row>
    <row r="32" spans="1:20" s="203" customFormat="1" ht="15" customHeight="1" thickBot="1">
      <c r="A32" s="197"/>
      <c r="B32" s="198"/>
      <c r="C32" s="212"/>
      <c r="D32" s="213" t="s">
        <v>89</v>
      </c>
      <c r="E32" s="193">
        <v>37</v>
      </c>
      <c r="F32" s="194">
        <v>1.3171947312210752E-2</v>
      </c>
      <c r="G32" s="195">
        <v>6475</v>
      </c>
      <c r="H32" s="195">
        <v>2349</v>
      </c>
      <c r="I32" s="195">
        <v>0</v>
      </c>
      <c r="J32" s="195">
        <v>4126</v>
      </c>
      <c r="K32" s="195">
        <v>111.51351351351352</v>
      </c>
      <c r="L32" s="196">
        <v>4.8413846914055489E-3</v>
      </c>
      <c r="M32" s="196">
        <v>1</v>
      </c>
      <c r="N32" s="214"/>
      <c r="O32" s="195">
        <v>0</v>
      </c>
      <c r="P32" s="196">
        <v>0</v>
      </c>
      <c r="Q32" s="196">
        <v>0</v>
      </c>
      <c r="R32" s="202"/>
      <c r="T32" s="223"/>
    </row>
    <row r="33" spans="1:20" s="203" customFormat="1" ht="15" customHeight="1" thickBot="1">
      <c r="A33" s="197"/>
      <c r="B33" s="198"/>
      <c r="C33" s="212"/>
      <c r="D33" s="213" t="s">
        <v>90</v>
      </c>
      <c r="E33" s="193">
        <v>49</v>
      </c>
      <c r="F33" s="194">
        <v>1.7443930224279102E-2</v>
      </c>
      <c r="G33" s="195">
        <v>7875</v>
      </c>
      <c r="H33" s="195">
        <v>2835</v>
      </c>
      <c r="I33" s="195">
        <v>0</v>
      </c>
      <c r="J33" s="195">
        <v>5040</v>
      </c>
      <c r="K33" s="195">
        <v>102.85714285714286</v>
      </c>
      <c r="L33" s="196">
        <v>5.9138581785467678E-3</v>
      </c>
      <c r="M33" s="196">
        <v>1</v>
      </c>
      <c r="N33" s="214"/>
      <c r="O33" s="195">
        <v>0</v>
      </c>
      <c r="P33" s="196">
        <v>0</v>
      </c>
      <c r="Q33" s="196">
        <v>0</v>
      </c>
      <c r="R33" s="202"/>
      <c r="T33" s="223"/>
    </row>
    <row r="34" spans="1:20" s="203" customFormat="1" ht="15" customHeight="1" thickBot="1">
      <c r="A34" s="197"/>
      <c r="B34" s="198"/>
      <c r="C34" s="212"/>
      <c r="D34" s="213" t="s">
        <v>91</v>
      </c>
      <c r="E34" s="193">
        <v>13</v>
      </c>
      <c r="F34" s="194">
        <v>4.627981488074048E-3</v>
      </c>
      <c r="G34" s="195">
        <v>4926</v>
      </c>
      <c r="H34" s="195">
        <v>910</v>
      </c>
      <c r="I34" s="195">
        <v>400</v>
      </c>
      <c r="J34" s="195">
        <v>1300</v>
      </c>
      <c r="K34" s="195">
        <v>100</v>
      </c>
      <c r="L34" s="196">
        <v>1.5253999270061107E-3</v>
      </c>
      <c r="M34" s="196">
        <v>0.52984165651644333</v>
      </c>
      <c r="N34" s="214"/>
      <c r="O34" s="195">
        <v>0</v>
      </c>
      <c r="P34" s="196">
        <v>0</v>
      </c>
      <c r="Q34" s="196">
        <v>0</v>
      </c>
      <c r="R34" s="202"/>
      <c r="T34" s="223"/>
    </row>
    <row r="35" spans="1:20" s="203" customFormat="1" ht="15" customHeight="1" thickBot="1">
      <c r="A35" s="197"/>
      <c r="B35" s="198"/>
      <c r="C35" s="212"/>
      <c r="D35" s="213" t="s">
        <v>92</v>
      </c>
      <c r="E35" s="193">
        <v>277</v>
      </c>
      <c r="F35" s="194">
        <v>9.8611605553577786E-2</v>
      </c>
      <c r="G35" s="195">
        <v>106524.8</v>
      </c>
      <c r="H35" s="195">
        <v>27783.68</v>
      </c>
      <c r="I35" s="195">
        <v>12835.5</v>
      </c>
      <c r="J35" s="195">
        <v>48128.41</v>
      </c>
      <c r="K35" s="195">
        <v>173.74877256317691</v>
      </c>
      <c r="L35" s="196">
        <v>5.6473133154553982E-2</v>
      </c>
      <c r="M35" s="196">
        <v>0.8331167014629457</v>
      </c>
      <c r="N35" s="214"/>
      <c r="O35" s="195">
        <v>0</v>
      </c>
      <c r="P35" s="196">
        <v>0</v>
      </c>
      <c r="Q35" s="196">
        <v>0</v>
      </c>
      <c r="R35" s="202"/>
      <c r="T35" s="223"/>
    </row>
    <row r="36" spans="1:20" s="203" customFormat="1" ht="15" customHeight="1" thickBot="1">
      <c r="A36" s="197"/>
      <c r="B36" s="198"/>
      <c r="C36" s="212"/>
      <c r="D36" s="213" t="s">
        <v>93</v>
      </c>
      <c r="E36" s="193">
        <v>4</v>
      </c>
      <c r="F36" s="194">
        <v>1.423994304022784E-3</v>
      </c>
      <c r="G36" s="195">
        <v>3078</v>
      </c>
      <c r="H36" s="195">
        <v>0</v>
      </c>
      <c r="I36" s="195">
        <v>0</v>
      </c>
      <c r="J36" s="195">
        <v>1230</v>
      </c>
      <c r="K36" s="195">
        <v>307.5</v>
      </c>
      <c r="L36" s="196">
        <v>1.4432630078596278E-3</v>
      </c>
      <c r="M36" s="196">
        <v>0.39961013645224169</v>
      </c>
      <c r="N36" s="214"/>
      <c r="O36" s="195">
        <v>0</v>
      </c>
      <c r="P36" s="196">
        <v>0</v>
      </c>
      <c r="Q36" s="196">
        <v>0</v>
      </c>
      <c r="R36" s="202"/>
      <c r="T36" s="223"/>
    </row>
    <row r="37" spans="1:20" s="203" customFormat="1" ht="15" customHeight="1" thickBot="1">
      <c r="A37" s="197"/>
      <c r="B37" s="198"/>
      <c r="C37" s="212"/>
      <c r="D37" s="213" t="s">
        <v>94</v>
      </c>
      <c r="E37" s="193">
        <v>85</v>
      </c>
      <c r="F37" s="194">
        <v>3.0259878960484158E-2</v>
      </c>
      <c r="G37" s="195">
        <v>7942.87</v>
      </c>
      <c r="H37" s="195">
        <v>567.55999999999995</v>
      </c>
      <c r="I37" s="195">
        <v>450</v>
      </c>
      <c r="J37" s="195">
        <v>3054.32</v>
      </c>
      <c r="K37" s="195">
        <v>35.933176470588236</v>
      </c>
      <c r="L37" s="196">
        <v>3.5838919269640807E-3</v>
      </c>
      <c r="M37" s="196">
        <v>0.51264593276737502</v>
      </c>
      <c r="N37" s="214"/>
      <c r="O37" s="195">
        <v>0</v>
      </c>
      <c r="P37" s="196">
        <v>0</v>
      </c>
      <c r="Q37" s="196">
        <v>0</v>
      </c>
      <c r="R37" s="202"/>
      <c r="T37" s="223"/>
    </row>
    <row r="38" spans="1:20" s="203" customFormat="1" ht="15" customHeight="1" thickBot="1">
      <c r="A38" s="197"/>
      <c r="B38" s="198"/>
      <c r="C38" s="212"/>
      <c r="D38" s="213" t="s">
        <v>95</v>
      </c>
      <c r="E38" s="193">
        <v>5</v>
      </c>
      <c r="F38" s="194">
        <v>1.77999288002848E-3</v>
      </c>
      <c r="G38" s="195">
        <v>1755</v>
      </c>
      <c r="H38" s="195">
        <v>245.1</v>
      </c>
      <c r="I38" s="195">
        <v>258</v>
      </c>
      <c r="J38" s="195">
        <v>602.5</v>
      </c>
      <c r="K38" s="195">
        <v>120.5</v>
      </c>
      <c r="L38" s="196">
        <v>7.0696419693937055E-4</v>
      </c>
      <c r="M38" s="196">
        <v>0.62997150997150997</v>
      </c>
      <c r="N38" s="214"/>
      <c r="O38" s="195">
        <v>0</v>
      </c>
      <c r="P38" s="196">
        <v>0</v>
      </c>
      <c r="Q38" s="196">
        <v>0</v>
      </c>
      <c r="R38" s="202"/>
      <c r="T38" s="223"/>
    </row>
    <row r="39" spans="1:20" s="203" customFormat="1" ht="15" customHeight="1" thickBot="1">
      <c r="A39" s="197"/>
      <c r="B39" s="198"/>
      <c r="C39" s="212"/>
      <c r="D39" s="213" t="s">
        <v>96</v>
      </c>
      <c r="E39" s="193">
        <v>8</v>
      </c>
      <c r="F39" s="194">
        <v>2.847988608045568E-3</v>
      </c>
      <c r="G39" s="195">
        <v>3134.25</v>
      </c>
      <c r="H39" s="195">
        <v>566.54</v>
      </c>
      <c r="I39" s="195">
        <v>716.18</v>
      </c>
      <c r="J39" s="195">
        <v>1082.32</v>
      </c>
      <c r="K39" s="195">
        <v>135.29</v>
      </c>
      <c r="L39" s="196">
        <v>1.2699775761517336E-3</v>
      </c>
      <c r="M39" s="196">
        <v>0.75457924543351673</v>
      </c>
      <c r="N39" s="214"/>
      <c r="O39" s="195">
        <v>0</v>
      </c>
      <c r="P39" s="196">
        <v>0</v>
      </c>
      <c r="Q39" s="196">
        <v>0</v>
      </c>
      <c r="R39" s="202"/>
      <c r="T39" s="223"/>
    </row>
    <row r="40" spans="1:20" s="203" customFormat="1" ht="15" customHeight="1" thickBot="1">
      <c r="A40" s="197"/>
      <c r="B40" s="198"/>
      <c r="C40" s="212"/>
      <c r="D40" s="213" t="s">
        <v>97</v>
      </c>
      <c r="E40" s="193">
        <v>13</v>
      </c>
      <c r="F40" s="194">
        <v>4.627981488074048E-3</v>
      </c>
      <c r="G40" s="195">
        <v>12500</v>
      </c>
      <c r="H40" s="195">
        <v>1928.58</v>
      </c>
      <c r="I40" s="195">
        <v>817</v>
      </c>
      <c r="J40" s="195">
        <v>4426.18</v>
      </c>
      <c r="K40" s="195">
        <v>340.47538461538466</v>
      </c>
      <c r="L40" s="196">
        <v>5.1936112683968524E-3</v>
      </c>
      <c r="M40" s="196">
        <v>0.57374080000000005</v>
      </c>
      <c r="N40" s="214"/>
      <c r="O40" s="195">
        <v>0</v>
      </c>
      <c r="P40" s="196">
        <v>0</v>
      </c>
      <c r="Q40" s="196">
        <v>0</v>
      </c>
      <c r="R40" s="202"/>
      <c r="T40" s="223"/>
    </row>
    <row r="41" spans="1:20" s="203" customFormat="1" ht="15" customHeight="1" thickBot="1">
      <c r="A41" s="197"/>
      <c r="B41" s="198"/>
      <c r="C41" s="212"/>
      <c r="D41" s="213" t="s">
        <v>98</v>
      </c>
      <c r="E41" s="193">
        <v>148</v>
      </c>
      <c r="F41" s="194">
        <v>5.2687789248843007E-2</v>
      </c>
      <c r="G41" s="195">
        <v>85461.5</v>
      </c>
      <c r="H41" s="195">
        <v>11202.58</v>
      </c>
      <c r="I41" s="195">
        <v>10897.5</v>
      </c>
      <c r="J41" s="195">
        <v>31957.49</v>
      </c>
      <c r="K41" s="195">
        <v>215.92898648648651</v>
      </c>
      <c r="L41" s="196">
        <v>3.7498425317921941E-2</v>
      </c>
      <c r="M41" s="196">
        <v>0.63253710735243351</v>
      </c>
      <c r="N41" s="214"/>
      <c r="O41" s="195">
        <v>0</v>
      </c>
      <c r="P41" s="196">
        <v>0</v>
      </c>
      <c r="Q41" s="196">
        <v>0</v>
      </c>
      <c r="R41" s="202"/>
      <c r="T41" s="223"/>
    </row>
    <row r="42" spans="1:20" s="203" customFormat="1" ht="15" customHeight="1" thickBot="1">
      <c r="A42" s="197"/>
      <c r="B42" s="198"/>
      <c r="C42" s="212"/>
      <c r="D42" s="213" t="s">
        <v>99</v>
      </c>
      <c r="E42" s="193">
        <v>10</v>
      </c>
      <c r="F42" s="194">
        <v>3.55998576005696E-3</v>
      </c>
      <c r="G42" s="195">
        <v>3480</v>
      </c>
      <c r="H42" s="195">
        <v>951.65</v>
      </c>
      <c r="I42" s="195">
        <v>0</v>
      </c>
      <c r="J42" s="195">
        <v>2528.35</v>
      </c>
      <c r="K42" s="195">
        <v>252.83499999999998</v>
      </c>
      <c r="L42" s="196">
        <v>2.9667268503430003E-3</v>
      </c>
      <c r="M42" s="196">
        <v>1</v>
      </c>
      <c r="N42" s="214"/>
      <c r="O42" s="195">
        <v>0</v>
      </c>
      <c r="P42" s="196">
        <v>0</v>
      </c>
      <c r="Q42" s="196">
        <v>0</v>
      </c>
      <c r="R42" s="202"/>
      <c r="T42" s="223"/>
    </row>
    <row r="43" spans="1:20" s="203" customFormat="1" ht="15" customHeight="1" thickBot="1">
      <c r="A43" s="197"/>
      <c r="B43" s="198"/>
      <c r="C43" s="212"/>
      <c r="D43" s="213" t="s">
        <v>100</v>
      </c>
      <c r="E43" s="193">
        <v>29</v>
      </c>
      <c r="F43" s="194">
        <v>1.0323958704165184E-2</v>
      </c>
      <c r="G43" s="195">
        <v>14515</v>
      </c>
      <c r="H43" s="195">
        <v>2379.65</v>
      </c>
      <c r="I43" s="195">
        <v>0</v>
      </c>
      <c r="J43" s="195">
        <v>12085.35</v>
      </c>
      <c r="K43" s="195">
        <v>416.73620689655172</v>
      </c>
      <c r="L43" s="196">
        <v>1.4180763082956386E-2</v>
      </c>
      <c r="M43" s="196">
        <v>0.99655528763348256</v>
      </c>
      <c r="N43" s="214"/>
      <c r="O43" s="195">
        <v>0</v>
      </c>
      <c r="P43" s="196">
        <v>0</v>
      </c>
      <c r="Q43" s="196">
        <v>0</v>
      </c>
      <c r="R43" s="202"/>
      <c r="T43" s="223"/>
    </row>
    <row r="44" spans="1:20" s="203" customFormat="1" ht="15" customHeight="1" thickBot="1">
      <c r="A44" s="197"/>
      <c r="B44" s="198"/>
      <c r="C44" s="212"/>
      <c r="D44" s="213" t="s">
        <v>101</v>
      </c>
      <c r="E44" s="193">
        <v>48</v>
      </c>
      <c r="F44" s="194">
        <v>1.7087931648273408E-2</v>
      </c>
      <c r="G44" s="195">
        <v>45404.5</v>
      </c>
      <c r="H44" s="195">
        <v>6097.6</v>
      </c>
      <c r="I44" s="195">
        <v>5580</v>
      </c>
      <c r="J44" s="195">
        <v>16369.15</v>
      </c>
      <c r="K44" s="195">
        <v>341.02395833333333</v>
      </c>
      <c r="L44" s="196">
        <v>1.9207307857809292E-2</v>
      </c>
      <c r="M44" s="196">
        <v>0.61770859716547921</v>
      </c>
      <c r="N44" s="214"/>
      <c r="O44" s="195">
        <v>0</v>
      </c>
      <c r="P44" s="196">
        <v>0</v>
      </c>
      <c r="Q44" s="196">
        <v>0</v>
      </c>
      <c r="R44" s="202"/>
      <c r="T44" s="223"/>
    </row>
    <row r="45" spans="1:20" s="203" customFormat="1" ht="15" customHeight="1" thickBot="1">
      <c r="A45" s="197"/>
      <c r="B45" s="198"/>
      <c r="C45" s="212"/>
      <c r="D45" s="213" t="s">
        <v>102</v>
      </c>
      <c r="E45" s="193">
        <v>163</v>
      </c>
      <c r="F45" s="194">
        <v>5.8027767888928446E-2</v>
      </c>
      <c r="G45" s="195">
        <v>39143.14</v>
      </c>
      <c r="H45" s="195">
        <v>8033.21</v>
      </c>
      <c r="I45" s="195">
        <v>3855</v>
      </c>
      <c r="J45" s="195">
        <v>18446.400000000001</v>
      </c>
      <c r="K45" s="195">
        <v>113.16809815950921</v>
      </c>
      <c r="L45" s="196">
        <v>2.1644720933481174E-2</v>
      </c>
      <c r="M45" s="196">
        <v>0.77496618820053786</v>
      </c>
      <c r="N45" s="214"/>
      <c r="O45" s="195">
        <v>0</v>
      </c>
      <c r="P45" s="196">
        <v>0</v>
      </c>
      <c r="Q45" s="196">
        <v>0</v>
      </c>
      <c r="R45" s="202"/>
      <c r="T45" s="223"/>
    </row>
    <row r="46" spans="1:20" s="203" customFormat="1" ht="15" customHeight="1" thickBot="1">
      <c r="A46" s="197"/>
      <c r="B46" s="198"/>
      <c r="C46" s="212"/>
      <c r="D46" s="213" t="s">
        <v>103</v>
      </c>
      <c r="E46" s="193">
        <v>3</v>
      </c>
      <c r="F46" s="194">
        <v>1.067995728017088E-3</v>
      </c>
      <c r="G46" s="195">
        <v>265</v>
      </c>
      <c r="H46" s="195">
        <v>103.2</v>
      </c>
      <c r="I46" s="195">
        <v>0</v>
      </c>
      <c r="J46" s="195">
        <v>161.80000000000001</v>
      </c>
      <c r="K46" s="195">
        <v>53.933333333333337</v>
      </c>
      <c r="L46" s="196">
        <v>1.8985362168429904E-4</v>
      </c>
      <c r="M46" s="196">
        <v>1</v>
      </c>
      <c r="N46" s="214"/>
      <c r="O46" s="195">
        <v>0</v>
      </c>
      <c r="P46" s="196">
        <v>0</v>
      </c>
      <c r="Q46" s="196">
        <v>0</v>
      </c>
      <c r="R46" s="202"/>
      <c r="T46" s="223"/>
    </row>
    <row r="47" spans="1:20" s="203" customFormat="1" ht="15" customHeight="1" thickBot="1">
      <c r="A47" s="197"/>
      <c r="B47" s="198"/>
      <c r="C47" s="212"/>
      <c r="D47" s="213" t="s">
        <v>104</v>
      </c>
      <c r="E47" s="193">
        <v>590</v>
      </c>
      <c r="F47" s="194">
        <v>0.21003915984336063</v>
      </c>
      <c r="G47" s="195">
        <v>28803.6400000002</v>
      </c>
      <c r="H47" s="195">
        <v>19802.37</v>
      </c>
      <c r="I47" s="195">
        <v>0</v>
      </c>
      <c r="J47" s="195">
        <v>8973.42</v>
      </c>
      <c r="K47" s="195">
        <v>15.209186440677966</v>
      </c>
      <c r="L47" s="196">
        <v>1.052927247153475E-2</v>
      </c>
      <c r="M47" s="196">
        <v>0.99903310831547687</v>
      </c>
      <c r="N47" s="214"/>
      <c r="O47" s="195">
        <v>0</v>
      </c>
      <c r="P47" s="196">
        <v>0</v>
      </c>
      <c r="Q47" s="196">
        <v>0</v>
      </c>
      <c r="R47" s="202"/>
      <c r="T47" s="223"/>
    </row>
    <row r="48" spans="1:20" s="203" customFormat="1" ht="15" customHeight="1" thickBot="1">
      <c r="A48" s="197"/>
      <c r="B48" s="198"/>
      <c r="C48" s="199" t="s">
        <v>105</v>
      </c>
      <c r="D48" s="200"/>
      <c r="E48" s="100">
        <v>2340</v>
      </c>
      <c r="F48" s="112">
        <v>0.83303666785332864</v>
      </c>
      <c r="G48" s="101">
        <v>330771.49000000098</v>
      </c>
      <c r="H48" s="101">
        <v>184693.14</v>
      </c>
      <c r="I48" s="101">
        <v>2481.31</v>
      </c>
      <c r="J48" s="101">
        <v>117142.4899999998</v>
      </c>
      <c r="K48" s="101">
        <v>50.060893162393164</v>
      </c>
      <c r="L48" s="102">
        <v>0.13745318899639544</v>
      </c>
      <c r="M48" s="102">
        <v>0.92002167417754177</v>
      </c>
      <c r="N48" s="201"/>
      <c r="O48" s="101">
        <v>0</v>
      </c>
      <c r="P48" s="102">
        <v>0</v>
      </c>
      <c r="Q48" s="102">
        <v>0</v>
      </c>
      <c r="R48" s="202"/>
      <c r="T48" s="223"/>
    </row>
    <row r="49" spans="1:20" s="203" customFormat="1" ht="15" customHeight="1" thickBot="1">
      <c r="A49" s="197"/>
      <c r="B49" s="198"/>
      <c r="C49" s="212"/>
      <c r="D49" s="213" t="s">
        <v>106</v>
      </c>
      <c r="E49" s="193">
        <v>6</v>
      </c>
      <c r="F49" s="194">
        <v>2.135991456034176E-3</v>
      </c>
      <c r="G49" s="195">
        <v>0</v>
      </c>
      <c r="H49" s="195">
        <v>1.4210854715202001E-14</v>
      </c>
      <c r="I49" s="195">
        <v>0</v>
      </c>
      <c r="J49" s="195">
        <v>0</v>
      </c>
      <c r="K49" s="195">
        <v>0</v>
      </c>
      <c r="L49" s="196">
        <v>0</v>
      </c>
      <c r="M49" s="196">
        <v>0</v>
      </c>
      <c r="N49" s="214"/>
      <c r="O49" s="195">
        <v>0</v>
      </c>
      <c r="P49" s="196">
        <v>0</v>
      </c>
      <c r="Q49" s="196">
        <v>0</v>
      </c>
      <c r="R49" s="202"/>
      <c r="T49" s="223"/>
    </row>
    <row r="50" spans="1:20" s="203" customFormat="1" ht="15" customHeight="1" thickBot="1">
      <c r="A50" s="197"/>
      <c r="B50" s="198"/>
      <c r="C50" s="212"/>
      <c r="D50" s="213" t="s">
        <v>107</v>
      </c>
      <c r="E50" s="193">
        <v>412</v>
      </c>
      <c r="F50" s="194">
        <v>0.14667141331434674</v>
      </c>
      <c r="G50" s="195">
        <v>27347.66</v>
      </c>
      <c r="H50" s="195">
        <v>0</v>
      </c>
      <c r="I50" s="195">
        <v>1165.52</v>
      </c>
      <c r="J50" s="195">
        <v>23798.98</v>
      </c>
      <c r="K50" s="195">
        <v>57.764514563106793</v>
      </c>
      <c r="L50" s="196">
        <v>2.792535565755376E-2</v>
      </c>
      <c r="M50" s="196">
        <v>0.91285689525173275</v>
      </c>
      <c r="N50" s="214"/>
      <c r="O50" s="195">
        <v>0</v>
      </c>
      <c r="P50" s="196">
        <v>0</v>
      </c>
      <c r="Q50" s="196">
        <v>0</v>
      </c>
      <c r="R50" s="202"/>
      <c r="T50" s="223"/>
    </row>
    <row r="51" spans="1:20" s="203" customFormat="1" ht="15" customHeight="1" thickBot="1">
      <c r="A51" s="197"/>
      <c r="B51" s="198"/>
      <c r="C51" s="212"/>
      <c r="D51" s="213" t="s">
        <v>108</v>
      </c>
      <c r="E51" s="193">
        <v>2</v>
      </c>
      <c r="F51" s="194">
        <v>7.1199715201139199E-4</v>
      </c>
      <c r="G51" s="195">
        <v>50</v>
      </c>
      <c r="H51" s="195">
        <v>0</v>
      </c>
      <c r="I51" s="195">
        <v>0</v>
      </c>
      <c r="J51" s="195">
        <v>50</v>
      </c>
      <c r="K51" s="195">
        <v>25</v>
      </c>
      <c r="L51" s="196">
        <v>5.8669227961773492E-5</v>
      </c>
      <c r="M51" s="196">
        <v>1</v>
      </c>
      <c r="N51" s="214"/>
      <c r="O51" s="195">
        <v>0</v>
      </c>
      <c r="P51" s="196">
        <v>0</v>
      </c>
      <c r="Q51" s="196">
        <v>0</v>
      </c>
      <c r="R51" s="202"/>
      <c r="T51" s="223"/>
    </row>
    <row r="52" spans="1:20" s="203" customFormat="1" ht="15" customHeight="1" thickBot="1">
      <c r="A52" s="197"/>
      <c r="B52" s="198"/>
      <c r="C52" s="212"/>
      <c r="D52" s="213" t="s">
        <v>109</v>
      </c>
      <c r="E52" s="193">
        <v>1716</v>
      </c>
      <c r="F52" s="194">
        <v>0.61089355642577425</v>
      </c>
      <c r="G52" s="195">
        <v>289414.41000000102</v>
      </c>
      <c r="H52" s="195">
        <v>175619.48</v>
      </c>
      <c r="I52" s="195">
        <v>1315.79</v>
      </c>
      <c r="J52" s="195">
        <v>88407.759999999806</v>
      </c>
      <c r="K52" s="195">
        <v>51.519673659673657</v>
      </c>
      <c r="L52" s="196">
        <v>0.10373630050059519</v>
      </c>
      <c r="M52" s="196">
        <v>0.91682729273915575</v>
      </c>
      <c r="N52" s="214"/>
      <c r="O52" s="195">
        <v>0</v>
      </c>
      <c r="P52" s="196">
        <v>0</v>
      </c>
      <c r="Q52" s="196">
        <v>0</v>
      </c>
      <c r="R52" s="202"/>
      <c r="T52" s="223"/>
    </row>
    <row r="53" spans="1:20" s="203" customFormat="1" ht="15" customHeight="1" thickBot="1">
      <c r="A53" s="197"/>
      <c r="B53" s="198"/>
      <c r="C53" s="212"/>
      <c r="D53" s="213" t="s">
        <v>110</v>
      </c>
      <c r="E53" s="193">
        <v>204</v>
      </c>
      <c r="F53" s="194">
        <v>7.2623709505161976E-2</v>
      </c>
      <c r="G53" s="195">
        <v>13959.42</v>
      </c>
      <c r="H53" s="195">
        <v>9073.66</v>
      </c>
      <c r="I53" s="195">
        <v>0</v>
      </c>
      <c r="J53" s="195">
        <v>4885.75</v>
      </c>
      <c r="K53" s="195">
        <v>23.949754901960784</v>
      </c>
      <c r="L53" s="196">
        <v>5.7328636102846964E-3</v>
      </c>
      <c r="M53" s="196">
        <v>0.99999928363785884</v>
      </c>
      <c r="N53" s="214"/>
      <c r="O53" s="195">
        <v>0</v>
      </c>
      <c r="P53" s="196">
        <v>0</v>
      </c>
      <c r="Q53" s="196">
        <v>0</v>
      </c>
      <c r="R53" s="202"/>
      <c r="T53" s="223"/>
    </row>
    <row r="54" spans="1:20" s="203" customFormat="1" ht="15" customHeight="1" thickBot="1">
      <c r="A54" s="197"/>
      <c r="B54" s="198"/>
      <c r="C54" s="199" t="s">
        <v>111</v>
      </c>
      <c r="D54" s="200"/>
      <c r="E54" s="100">
        <v>170</v>
      </c>
      <c r="F54" s="112">
        <v>6.0519757920968316E-2</v>
      </c>
      <c r="G54" s="101">
        <v>16199.48</v>
      </c>
      <c r="H54" s="101">
        <v>680.38</v>
      </c>
      <c r="I54" s="101">
        <v>2468.16</v>
      </c>
      <c r="J54" s="101">
        <v>12251.66</v>
      </c>
      <c r="K54" s="101">
        <v>72.068588235294115</v>
      </c>
      <c r="L54" s="102">
        <v>1.4375908669002837E-2</v>
      </c>
      <c r="M54" s="102">
        <v>0.95066014464661841</v>
      </c>
      <c r="N54" s="201"/>
      <c r="O54" s="101">
        <v>0</v>
      </c>
      <c r="P54" s="102">
        <v>0</v>
      </c>
      <c r="Q54" s="102">
        <v>0</v>
      </c>
      <c r="R54" s="202"/>
      <c r="T54" s="223"/>
    </row>
    <row r="55" spans="1:20" s="203" customFormat="1" ht="15" customHeight="1" thickBot="1">
      <c r="A55" s="197"/>
      <c r="B55" s="198"/>
      <c r="C55" s="212"/>
      <c r="D55" s="213" t="s">
        <v>112</v>
      </c>
      <c r="E55" s="193">
        <v>170</v>
      </c>
      <c r="F55" s="194">
        <v>6.0519757920968316E-2</v>
      </c>
      <c r="G55" s="195">
        <v>16199.48</v>
      </c>
      <c r="H55" s="195">
        <v>680.38</v>
      </c>
      <c r="I55" s="195">
        <v>2468.16</v>
      </c>
      <c r="J55" s="195">
        <v>12251.66</v>
      </c>
      <c r="K55" s="195">
        <v>72.068588235294115</v>
      </c>
      <c r="L55" s="196">
        <v>1.4375908669002837E-2</v>
      </c>
      <c r="M55" s="196">
        <v>0.95066014464661841</v>
      </c>
      <c r="N55" s="214"/>
      <c r="O55" s="195">
        <v>0</v>
      </c>
      <c r="P55" s="196">
        <v>0</v>
      </c>
      <c r="Q55" s="196">
        <v>0</v>
      </c>
      <c r="R55" s="202"/>
      <c r="T55" s="223"/>
    </row>
    <row r="56" spans="1:20" s="203" customFormat="1" ht="15" customHeight="1" thickBot="1">
      <c r="A56" s="197"/>
      <c r="B56" s="198"/>
      <c r="C56" s="199" t="s">
        <v>113</v>
      </c>
      <c r="D56" s="200"/>
      <c r="E56" s="100">
        <v>42</v>
      </c>
      <c r="F56" s="112">
        <v>1.4951940192239232E-2</v>
      </c>
      <c r="G56" s="101">
        <v>1128.46</v>
      </c>
      <c r="H56" s="101">
        <v>207.49</v>
      </c>
      <c r="I56" s="101">
        <v>168.78</v>
      </c>
      <c r="J56" s="101">
        <v>610.37</v>
      </c>
      <c r="K56" s="101">
        <v>14.532619047619047</v>
      </c>
      <c r="L56" s="102">
        <v>7.161987334205537E-4</v>
      </c>
      <c r="M56" s="102">
        <v>0.87432430037396092</v>
      </c>
      <c r="N56" s="201"/>
      <c r="O56" s="101">
        <v>0</v>
      </c>
      <c r="P56" s="102">
        <v>0</v>
      </c>
      <c r="Q56" s="102">
        <v>0</v>
      </c>
      <c r="R56" s="202"/>
      <c r="T56" s="223"/>
    </row>
    <row r="57" spans="1:20" s="203" customFormat="1" ht="15" customHeight="1" thickBot="1">
      <c r="A57" s="197"/>
      <c r="B57" s="198"/>
      <c r="C57" s="212"/>
      <c r="D57" s="213" t="s">
        <v>114</v>
      </c>
      <c r="E57" s="193">
        <v>1</v>
      </c>
      <c r="F57" s="194">
        <v>3.55998576005696E-4</v>
      </c>
      <c r="G57" s="195">
        <v>39.96</v>
      </c>
      <c r="H57" s="195">
        <v>0</v>
      </c>
      <c r="I57" s="195">
        <v>0</v>
      </c>
      <c r="J57" s="195">
        <v>39.96</v>
      </c>
      <c r="K57" s="195">
        <v>39.96</v>
      </c>
      <c r="L57" s="196">
        <v>4.688844698704938E-5</v>
      </c>
      <c r="M57" s="196">
        <v>1</v>
      </c>
      <c r="N57" s="214"/>
      <c r="O57" s="195">
        <v>0</v>
      </c>
      <c r="P57" s="196">
        <v>0</v>
      </c>
      <c r="Q57" s="196">
        <v>0</v>
      </c>
      <c r="R57" s="202"/>
      <c r="T57" s="223"/>
    </row>
    <row r="58" spans="1:20" s="203" customFormat="1" ht="15" customHeight="1" thickBot="1">
      <c r="A58" s="197"/>
      <c r="B58" s="198"/>
      <c r="C58" s="212"/>
      <c r="D58" s="213" t="s">
        <v>115</v>
      </c>
      <c r="E58" s="193">
        <v>3</v>
      </c>
      <c r="F58" s="194">
        <v>1.067995728017088E-3</v>
      </c>
      <c r="G58" s="195">
        <v>72</v>
      </c>
      <c r="H58" s="195">
        <v>0</v>
      </c>
      <c r="I58" s="195">
        <v>0</v>
      </c>
      <c r="J58" s="195">
        <v>72</v>
      </c>
      <c r="K58" s="195">
        <v>24</v>
      </c>
      <c r="L58" s="196">
        <v>8.448368826495383E-5</v>
      </c>
      <c r="M58" s="196">
        <v>1</v>
      </c>
      <c r="N58" s="214"/>
      <c r="O58" s="195">
        <v>0</v>
      </c>
      <c r="P58" s="196">
        <v>0</v>
      </c>
      <c r="Q58" s="196">
        <v>0</v>
      </c>
      <c r="R58" s="202"/>
      <c r="T58" s="223"/>
    </row>
    <row r="59" spans="1:20" s="203" customFormat="1" ht="15" customHeight="1" thickBot="1">
      <c r="A59" s="197"/>
      <c r="B59" s="198"/>
      <c r="C59" s="212"/>
      <c r="D59" s="213" t="s">
        <v>116</v>
      </c>
      <c r="E59" s="193">
        <v>28</v>
      </c>
      <c r="F59" s="194">
        <v>9.9679601281594879E-3</v>
      </c>
      <c r="G59" s="195">
        <v>0</v>
      </c>
      <c r="H59" s="195">
        <v>-1.3322676295502001E-15</v>
      </c>
      <c r="I59" s="195">
        <v>0</v>
      </c>
      <c r="J59" s="195">
        <v>2.22044604925E-16</v>
      </c>
      <c r="K59" s="195">
        <v>0</v>
      </c>
      <c r="L59" s="196">
        <v>0</v>
      </c>
      <c r="M59" s="196">
        <v>0</v>
      </c>
      <c r="N59" s="214"/>
      <c r="O59" s="195">
        <v>0</v>
      </c>
      <c r="P59" s="196">
        <v>0</v>
      </c>
      <c r="Q59" s="196">
        <v>0</v>
      </c>
      <c r="R59" s="202"/>
      <c r="T59" s="223"/>
    </row>
    <row r="60" spans="1:20" s="203" customFormat="1" ht="15" customHeight="1" thickBot="1">
      <c r="A60" s="197"/>
      <c r="B60" s="198"/>
      <c r="C60" s="212"/>
      <c r="D60" s="213" t="s">
        <v>117</v>
      </c>
      <c r="E60" s="193">
        <v>10</v>
      </c>
      <c r="F60" s="194">
        <v>3.55998576005696E-3</v>
      </c>
      <c r="G60" s="195">
        <v>1016.5</v>
      </c>
      <c r="H60" s="195">
        <v>207.49</v>
      </c>
      <c r="I60" s="195">
        <v>168.78</v>
      </c>
      <c r="J60" s="195">
        <v>498.41</v>
      </c>
      <c r="K60" s="195">
        <v>49.841000000000001</v>
      </c>
      <c r="L60" s="196">
        <v>5.8482659816855059E-4</v>
      </c>
      <c r="M60" s="196">
        <v>0.86048204623708802</v>
      </c>
      <c r="N60" s="214"/>
      <c r="O60" s="195">
        <v>0</v>
      </c>
      <c r="P60" s="196">
        <v>0</v>
      </c>
      <c r="Q60" s="196">
        <v>0</v>
      </c>
      <c r="R60" s="202"/>
      <c r="T60" s="223"/>
    </row>
    <row r="61" spans="1:20" s="203" customFormat="1" ht="15" customHeight="1" thickBot="1">
      <c r="A61" s="197"/>
      <c r="B61" s="198"/>
      <c r="C61" s="199" t="s">
        <v>118</v>
      </c>
      <c r="D61" s="200"/>
      <c r="E61" s="100">
        <v>1029</v>
      </c>
      <c r="F61" s="112">
        <v>0.36632253470986115</v>
      </c>
      <c r="G61" s="101">
        <v>318574.81</v>
      </c>
      <c r="H61" s="101">
        <v>434.86000000000098</v>
      </c>
      <c r="I61" s="101">
        <v>43325.08</v>
      </c>
      <c r="J61" s="101">
        <v>201930.92</v>
      </c>
      <c r="K61" s="101">
        <v>196.23996112730808</v>
      </c>
      <c r="L61" s="102">
        <v>0.23694262356021295</v>
      </c>
      <c r="M61" s="102">
        <v>0.77121872881286502</v>
      </c>
      <c r="N61" s="201"/>
      <c r="O61" s="101">
        <v>0</v>
      </c>
      <c r="P61" s="102">
        <v>0</v>
      </c>
      <c r="Q61" s="102">
        <v>0</v>
      </c>
      <c r="R61" s="202"/>
      <c r="T61" s="223"/>
    </row>
    <row r="62" spans="1:20" s="203" customFormat="1" ht="15" customHeight="1" thickBot="1">
      <c r="A62" s="197"/>
      <c r="B62" s="198"/>
      <c r="C62" s="212"/>
      <c r="D62" s="213" t="s">
        <v>119</v>
      </c>
      <c r="E62" s="193">
        <v>6</v>
      </c>
      <c r="F62" s="194">
        <v>2.135991456034176E-3</v>
      </c>
      <c r="G62" s="195">
        <v>4600</v>
      </c>
      <c r="H62" s="195">
        <v>0</v>
      </c>
      <c r="I62" s="195">
        <v>1028.4000000000001</v>
      </c>
      <c r="J62" s="195">
        <v>2178.4</v>
      </c>
      <c r="K62" s="195">
        <v>363.06666666666666</v>
      </c>
      <c r="L62" s="196">
        <v>2.5561009238385477E-3</v>
      </c>
      <c r="M62" s="196">
        <v>0.69713043478260872</v>
      </c>
      <c r="N62" s="214"/>
      <c r="O62" s="195">
        <v>0</v>
      </c>
      <c r="P62" s="196">
        <v>0</v>
      </c>
      <c r="Q62" s="196">
        <v>0</v>
      </c>
      <c r="R62" s="202"/>
      <c r="T62" s="223"/>
    </row>
    <row r="63" spans="1:20" s="203" customFormat="1" ht="15" customHeight="1" thickBot="1">
      <c r="A63" s="197"/>
      <c r="B63" s="198"/>
      <c r="C63" s="212"/>
      <c r="D63" s="213" t="s">
        <v>120</v>
      </c>
      <c r="E63" s="193">
        <v>365</v>
      </c>
      <c r="F63" s="194">
        <v>0.12993948024207902</v>
      </c>
      <c r="G63" s="195">
        <v>24659.72</v>
      </c>
      <c r="H63" s="195">
        <v>189.52</v>
      </c>
      <c r="I63" s="195">
        <v>1032.33</v>
      </c>
      <c r="J63" s="195">
        <v>19737.38</v>
      </c>
      <c r="K63" s="195">
        <v>54.075013698630137</v>
      </c>
      <c r="L63" s="196">
        <v>2.3159536931762981E-2</v>
      </c>
      <c r="M63" s="196">
        <v>0.84993787439597845</v>
      </c>
      <c r="N63" s="214"/>
      <c r="O63" s="195">
        <v>0</v>
      </c>
      <c r="P63" s="196">
        <v>0</v>
      </c>
      <c r="Q63" s="196">
        <v>0</v>
      </c>
      <c r="R63" s="202"/>
      <c r="T63" s="223"/>
    </row>
    <row r="64" spans="1:20" s="203" customFormat="1" ht="15" customHeight="1" thickBot="1">
      <c r="A64" s="197"/>
      <c r="B64" s="198"/>
      <c r="C64" s="212"/>
      <c r="D64" s="213" t="s">
        <v>121</v>
      </c>
      <c r="E64" s="193">
        <v>3</v>
      </c>
      <c r="F64" s="194">
        <v>1.067995728017088E-3</v>
      </c>
      <c r="G64" s="195">
        <v>740</v>
      </c>
      <c r="H64" s="195">
        <v>0.09</v>
      </c>
      <c r="I64" s="195">
        <v>0</v>
      </c>
      <c r="J64" s="195">
        <v>514.20000000000005</v>
      </c>
      <c r="K64" s="195">
        <v>171.4</v>
      </c>
      <c r="L64" s="196">
        <v>6.0335434035887862E-4</v>
      </c>
      <c r="M64" s="196">
        <v>0.69498648648648642</v>
      </c>
      <c r="N64" s="214"/>
      <c r="O64" s="195">
        <v>0</v>
      </c>
      <c r="P64" s="196">
        <v>0</v>
      </c>
      <c r="Q64" s="196">
        <v>0</v>
      </c>
      <c r="R64" s="202"/>
      <c r="T64" s="223"/>
    </row>
    <row r="65" spans="1:20" s="203" customFormat="1" ht="15" customHeight="1" thickBot="1">
      <c r="A65" s="197"/>
      <c r="B65" s="198"/>
      <c r="C65" s="212"/>
      <c r="D65" s="213" t="s">
        <v>122</v>
      </c>
      <c r="E65" s="193">
        <v>7</v>
      </c>
      <c r="F65" s="194">
        <v>2.491990032039872E-3</v>
      </c>
      <c r="G65" s="195">
        <v>219</v>
      </c>
      <c r="H65" s="195">
        <v>16.260000000000002</v>
      </c>
      <c r="I65" s="195">
        <v>0</v>
      </c>
      <c r="J65" s="195">
        <v>172.74</v>
      </c>
      <c r="K65" s="195">
        <v>24.677142857142858</v>
      </c>
      <c r="L65" s="196">
        <v>2.0269044876233507E-4</v>
      </c>
      <c r="M65" s="196">
        <v>0.86301369863013699</v>
      </c>
      <c r="N65" s="214"/>
      <c r="O65" s="195">
        <v>0</v>
      </c>
      <c r="P65" s="196">
        <v>0</v>
      </c>
      <c r="Q65" s="196">
        <v>0</v>
      </c>
      <c r="R65" s="202"/>
      <c r="T65" s="223"/>
    </row>
    <row r="66" spans="1:20" s="203" customFormat="1" ht="15" customHeight="1" thickBot="1">
      <c r="A66" s="197"/>
      <c r="B66" s="198"/>
      <c r="C66" s="212"/>
      <c r="D66" s="213" t="s">
        <v>123</v>
      </c>
      <c r="E66" s="193">
        <v>478</v>
      </c>
      <c r="F66" s="194">
        <v>0.17016731933072268</v>
      </c>
      <c r="G66" s="195">
        <v>248778.37</v>
      </c>
      <c r="H66" s="195">
        <v>198.780000000001</v>
      </c>
      <c r="I66" s="195">
        <v>38076.49</v>
      </c>
      <c r="J66" s="195">
        <v>152670.51</v>
      </c>
      <c r="K66" s="195">
        <v>319.39437238493724</v>
      </c>
      <c r="L66" s="196">
        <v>0.1791412190846044</v>
      </c>
      <c r="M66" s="196">
        <v>0.76753368872060701</v>
      </c>
      <c r="N66" s="214"/>
      <c r="O66" s="195">
        <v>0</v>
      </c>
      <c r="P66" s="196">
        <v>0</v>
      </c>
      <c r="Q66" s="196">
        <v>0</v>
      </c>
      <c r="R66" s="202"/>
      <c r="T66" s="223"/>
    </row>
    <row r="67" spans="1:20" s="203" customFormat="1" ht="15" customHeight="1" thickBot="1">
      <c r="A67" s="197"/>
      <c r="B67" s="198"/>
      <c r="C67" s="212"/>
      <c r="D67" s="213" t="s">
        <v>124</v>
      </c>
      <c r="E67" s="193">
        <v>109</v>
      </c>
      <c r="F67" s="194">
        <v>3.8803844784620858E-2</v>
      </c>
      <c r="G67" s="195">
        <v>30716.9</v>
      </c>
      <c r="H67" s="195">
        <v>28.44</v>
      </c>
      <c r="I67" s="195">
        <v>3187.86</v>
      </c>
      <c r="J67" s="195">
        <v>19273.259999999998</v>
      </c>
      <c r="K67" s="195">
        <v>176.81889908256881</v>
      </c>
      <c r="L67" s="196">
        <v>2.261494569013061E-2</v>
      </c>
      <c r="M67" s="196">
        <v>0.73215591417102643</v>
      </c>
      <c r="N67" s="214"/>
      <c r="O67" s="195">
        <v>0</v>
      </c>
      <c r="P67" s="196">
        <v>0</v>
      </c>
      <c r="Q67" s="196">
        <v>0</v>
      </c>
      <c r="R67" s="202"/>
      <c r="T67" s="223"/>
    </row>
    <row r="68" spans="1:20" s="203" customFormat="1" ht="15" customHeight="1" thickBot="1">
      <c r="A68" s="197"/>
      <c r="B68" s="198"/>
      <c r="C68" s="212"/>
      <c r="D68" s="213" t="s">
        <v>125</v>
      </c>
      <c r="E68" s="193">
        <v>61</v>
      </c>
      <c r="F68" s="194">
        <v>2.1715913136347454E-2</v>
      </c>
      <c r="G68" s="195">
        <v>8860.82</v>
      </c>
      <c r="H68" s="195">
        <v>1.77</v>
      </c>
      <c r="I68" s="195">
        <v>0</v>
      </c>
      <c r="J68" s="195">
        <v>7384.43</v>
      </c>
      <c r="K68" s="195">
        <v>121.05622950819672</v>
      </c>
      <c r="L68" s="196">
        <v>8.6647761407551808E-3</v>
      </c>
      <c r="M68" s="196">
        <v>0.83357973641265704</v>
      </c>
      <c r="N68" s="214"/>
      <c r="O68" s="195">
        <v>0</v>
      </c>
      <c r="P68" s="196">
        <v>0</v>
      </c>
      <c r="Q68" s="196">
        <v>0</v>
      </c>
      <c r="R68" s="202"/>
      <c r="T68" s="223"/>
    </row>
    <row r="69" spans="1:20" s="203" customFormat="1" ht="15" customHeight="1" thickBot="1">
      <c r="A69" s="197"/>
      <c r="B69" s="198"/>
      <c r="C69" s="199" t="s">
        <v>126</v>
      </c>
      <c r="D69" s="200"/>
      <c r="E69" s="100">
        <v>73422</v>
      </c>
      <c r="F69" s="112">
        <v>26.138127447490209</v>
      </c>
      <c r="G69" s="101">
        <v>230718.290000001</v>
      </c>
      <c r="H69" s="101">
        <v>130242.45000003801</v>
      </c>
      <c r="I69" s="101">
        <v>105.1</v>
      </c>
      <c r="J69" s="101">
        <v>100007.039999998</v>
      </c>
      <c r="K69" s="101">
        <v>1.3620854784669445</v>
      </c>
      <c r="L69" s="102">
        <v>0.117346716550844</v>
      </c>
      <c r="M69" s="102">
        <v>0.99842361869100182</v>
      </c>
      <c r="N69" s="201"/>
      <c r="O69" s="101">
        <v>0</v>
      </c>
      <c r="P69" s="102">
        <v>0</v>
      </c>
      <c r="Q69" s="102">
        <v>0</v>
      </c>
      <c r="R69" s="202"/>
      <c r="T69" s="223"/>
    </row>
    <row r="70" spans="1:20" s="203" customFormat="1" ht="15" customHeight="1" thickBot="1">
      <c r="A70" s="197"/>
      <c r="B70" s="198"/>
      <c r="C70" s="212"/>
      <c r="D70" s="213" t="s">
        <v>127</v>
      </c>
      <c r="E70" s="193">
        <v>73422</v>
      </c>
      <c r="F70" s="194">
        <v>26.138127447490209</v>
      </c>
      <c r="G70" s="195">
        <v>230718.290000001</v>
      </c>
      <c r="H70" s="195">
        <v>130242.45000003801</v>
      </c>
      <c r="I70" s="195">
        <v>105.1</v>
      </c>
      <c r="J70" s="195">
        <v>100007.039999998</v>
      </c>
      <c r="K70" s="195">
        <v>1.3620854784669445</v>
      </c>
      <c r="L70" s="196">
        <v>0.117346716550844</v>
      </c>
      <c r="M70" s="196">
        <v>0.99842361869100182</v>
      </c>
      <c r="N70" s="214"/>
      <c r="O70" s="195">
        <v>0</v>
      </c>
      <c r="P70" s="196">
        <v>0</v>
      </c>
      <c r="Q70" s="196">
        <v>0</v>
      </c>
      <c r="R70" s="202"/>
      <c r="T70" s="223"/>
    </row>
    <row r="71" spans="1:20" s="203" customFormat="1" ht="15" customHeight="1" thickBot="1">
      <c r="A71" s="197"/>
      <c r="B71" s="198"/>
      <c r="C71" s="199" t="s">
        <v>128</v>
      </c>
      <c r="D71" s="200"/>
      <c r="E71" s="100">
        <v>36</v>
      </c>
      <c r="F71" s="112">
        <v>1.2815948736205056E-2</v>
      </c>
      <c r="G71" s="101">
        <v>1294</v>
      </c>
      <c r="H71" s="101">
        <v>0</v>
      </c>
      <c r="I71" s="101">
        <v>0</v>
      </c>
      <c r="J71" s="101">
        <v>1229</v>
      </c>
      <c r="K71" s="101">
        <v>34.138888888888886</v>
      </c>
      <c r="L71" s="102">
        <v>1.4420896233003926E-3</v>
      </c>
      <c r="M71" s="102">
        <v>0.94976816074188564</v>
      </c>
      <c r="N71" s="201"/>
      <c r="O71" s="101">
        <v>0</v>
      </c>
      <c r="P71" s="102">
        <v>0</v>
      </c>
      <c r="Q71" s="102">
        <v>0</v>
      </c>
      <c r="R71" s="202"/>
      <c r="T71" s="223"/>
    </row>
    <row r="72" spans="1:20" s="203" customFormat="1" ht="15" customHeight="1" thickBot="1">
      <c r="A72" s="197"/>
      <c r="B72" s="198"/>
      <c r="C72" s="212"/>
      <c r="D72" s="213" t="s">
        <v>129</v>
      </c>
      <c r="E72" s="193">
        <v>36</v>
      </c>
      <c r="F72" s="194">
        <v>1.2815948736205056E-2</v>
      </c>
      <c r="G72" s="195">
        <v>1294</v>
      </c>
      <c r="H72" s="195">
        <v>0</v>
      </c>
      <c r="I72" s="195">
        <v>0</v>
      </c>
      <c r="J72" s="195">
        <v>1229</v>
      </c>
      <c r="K72" s="195">
        <v>34.138888888888886</v>
      </c>
      <c r="L72" s="196">
        <v>1.4420896233003926E-3</v>
      </c>
      <c r="M72" s="196">
        <v>0.94976816074188564</v>
      </c>
      <c r="N72" s="214"/>
      <c r="O72" s="195">
        <v>0</v>
      </c>
      <c r="P72" s="196">
        <v>0</v>
      </c>
      <c r="Q72" s="196">
        <v>0</v>
      </c>
      <c r="R72" s="202"/>
      <c r="T72" s="223"/>
    </row>
    <row r="73" spans="1:20" s="203" customFormat="1" ht="15" customHeight="1" thickBot="1">
      <c r="A73" s="197"/>
      <c r="B73" s="198"/>
      <c r="C73" s="199" t="s">
        <v>130</v>
      </c>
      <c r="D73" s="200"/>
      <c r="E73" s="100">
        <v>32698</v>
      </c>
      <c r="F73" s="112">
        <v>11.640441438234246</v>
      </c>
      <c r="G73" s="101">
        <v>775091.94999998878</v>
      </c>
      <c r="H73" s="101">
        <v>442502.42000000284</v>
      </c>
      <c r="I73" s="101">
        <v>4257.05</v>
      </c>
      <c r="J73" s="101">
        <v>279214.53999999241</v>
      </c>
      <c r="K73" s="101">
        <v>8.5391932228270839</v>
      </c>
      <c r="L73" s="102">
        <v>0.32762602995003443</v>
      </c>
      <c r="M73" s="102">
        <v>0.9366295315026818</v>
      </c>
      <c r="N73" s="201"/>
      <c r="O73" s="101">
        <v>0</v>
      </c>
      <c r="P73" s="102">
        <v>0</v>
      </c>
      <c r="Q73" s="102">
        <v>0</v>
      </c>
      <c r="R73" s="202"/>
      <c r="T73" s="223"/>
    </row>
    <row r="74" spans="1:20" s="203" customFormat="1" ht="15" customHeight="1" thickBot="1">
      <c r="A74" s="197"/>
      <c r="B74" s="198"/>
      <c r="C74" s="212"/>
      <c r="D74" s="213" t="s">
        <v>131</v>
      </c>
      <c r="E74" s="193">
        <v>2230</v>
      </c>
      <c r="F74" s="194">
        <v>0.79387682449270203</v>
      </c>
      <c r="G74" s="195">
        <v>73996.550000000207</v>
      </c>
      <c r="H74" s="195">
        <v>41761.860000000503</v>
      </c>
      <c r="I74" s="195">
        <v>-47.13</v>
      </c>
      <c r="J74" s="195">
        <v>29556.45</v>
      </c>
      <c r="K74" s="195">
        <v>13.254013452914798</v>
      </c>
      <c r="L74" s="196">
        <v>3.4681082055815202E-2</v>
      </c>
      <c r="M74" s="196">
        <v>0.96316895855279727</v>
      </c>
      <c r="N74" s="214"/>
      <c r="O74" s="195">
        <v>0</v>
      </c>
      <c r="P74" s="196">
        <v>0</v>
      </c>
      <c r="Q74" s="196">
        <v>0</v>
      </c>
      <c r="R74" s="202"/>
      <c r="T74" s="223"/>
    </row>
    <row r="75" spans="1:20" s="203" customFormat="1" ht="15" customHeight="1" thickBot="1">
      <c r="A75" s="197"/>
      <c r="B75" s="198"/>
      <c r="C75" s="212"/>
      <c r="D75" s="213" t="s">
        <v>132</v>
      </c>
      <c r="E75" s="193">
        <v>3123</v>
      </c>
      <c r="F75" s="194">
        <v>1.1117835528657884</v>
      </c>
      <c r="G75" s="195">
        <v>127862.48</v>
      </c>
      <c r="H75" s="195">
        <v>72464.539999999397</v>
      </c>
      <c r="I75" s="195">
        <v>2567.4899999999998</v>
      </c>
      <c r="J75" s="195">
        <v>33208.8900000004</v>
      </c>
      <c r="K75" s="195">
        <v>10.633650336215178</v>
      </c>
      <c r="L75" s="196">
        <v>3.8966798755349204E-2</v>
      </c>
      <c r="M75" s="196">
        <v>0.846541690728977</v>
      </c>
      <c r="N75" s="214"/>
      <c r="O75" s="195">
        <v>0</v>
      </c>
      <c r="P75" s="196">
        <v>0</v>
      </c>
      <c r="Q75" s="196">
        <v>0</v>
      </c>
      <c r="R75" s="202"/>
      <c r="T75" s="223"/>
    </row>
    <row r="76" spans="1:20" s="203" customFormat="1" ht="15" customHeight="1" thickBot="1">
      <c r="A76" s="197"/>
      <c r="B76" s="198"/>
      <c r="C76" s="212"/>
      <c r="D76" s="213" t="s">
        <v>133</v>
      </c>
      <c r="E76" s="193">
        <v>3979</v>
      </c>
      <c r="F76" s="194">
        <v>1.4165183339266643</v>
      </c>
      <c r="G76" s="195">
        <v>99877.919999998601</v>
      </c>
      <c r="H76" s="195">
        <v>60794.729999999501</v>
      </c>
      <c r="I76" s="195">
        <v>0</v>
      </c>
      <c r="J76" s="195">
        <v>39083.189999999799</v>
      </c>
      <c r="K76" s="195">
        <v>9.8223649158079933</v>
      </c>
      <c r="L76" s="196">
        <v>4.5859611671666127E-2</v>
      </c>
      <c r="M76" s="196">
        <v>1</v>
      </c>
      <c r="N76" s="214"/>
      <c r="O76" s="195">
        <v>0</v>
      </c>
      <c r="P76" s="196">
        <v>0</v>
      </c>
      <c r="Q76" s="196">
        <v>0</v>
      </c>
      <c r="R76" s="202"/>
      <c r="T76" s="223"/>
    </row>
    <row r="77" spans="1:20" s="203" customFormat="1" ht="15" customHeight="1" thickBot="1">
      <c r="A77" s="197"/>
      <c r="B77" s="198"/>
      <c r="C77" s="212"/>
      <c r="D77" s="213" t="s">
        <v>134</v>
      </c>
      <c r="E77" s="193">
        <v>5303</v>
      </c>
      <c r="F77" s="194">
        <v>1.8878604485582058</v>
      </c>
      <c r="G77" s="195">
        <v>106535.899999999</v>
      </c>
      <c r="H77" s="195">
        <v>57992.520000001401</v>
      </c>
      <c r="I77" s="195">
        <v>1148.0899999999999</v>
      </c>
      <c r="J77" s="195">
        <v>38932.969999999201</v>
      </c>
      <c r="K77" s="195">
        <v>7.3416877239298515</v>
      </c>
      <c r="L77" s="196">
        <v>4.5683345843177771E-2</v>
      </c>
      <c r="M77" s="196">
        <v>0.92056837178828932</v>
      </c>
      <c r="N77" s="214"/>
      <c r="O77" s="195">
        <v>0</v>
      </c>
      <c r="P77" s="196">
        <v>0</v>
      </c>
      <c r="Q77" s="196">
        <v>0</v>
      </c>
      <c r="R77" s="202"/>
      <c r="T77" s="223"/>
    </row>
    <row r="78" spans="1:20" s="203" customFormat="1" ht="15" customHeight="1" thickBot="1">
      <c r="A78" s="197"/>
      <c r="B78" s="198"/>
      <c r="C78" s="212"/>
      <c r="D78" s="213" t="s">
        <v>135</v>
      </c>
      <c r="E78" s="193">
        <v>18063</v>
      </c>
      <c r="F78" s="194">
        <v>6.4304022783908863</v>
      </c>
      <c r="G78" s="195">
        <v>366819.09999999101</v>
      </c>
      <c r="H78" s="195">
        <v>209488.770000002</v>
      </c>
      <c r="I78" s="195">
        <v>588.6</v>
      </c>
      <c r="J78" s="195">
        <v>138433.03999999299</v>
      </c>
      <c r="K78" s="195">
        <v>7.6639007916735871</v>
      </c>
      <c r="L78" s="196">
        <v>0.16243519162402617</v>
      </c>
      <c r="M78" s="196">
        <v>0.95008795888763697</v>
      </c>
      <c r="N78" s="214"/>
      <c r="O78" s="195">
        <v>0</v>
      </c>
      <c r="P78" s="196">
        <v>0</v>
      </c>
      <c r="Q78" s="196">
        <v>0</v>
      </c>
      <c r="R78" s="202"/>
      <c r="T78" s="223"/>
    </row>
    <row r="79" spans="1:20" s="203" customFormat="1" ht="15" customHeight="1" thickBot="1">
      <c r="A79" s="197"/>
      <c r="B79" s="198"/>
      <c r="C79" s="204" t="s">
        <v>34</v>
      </c>
      <c r="D79" s="205"/>
      <c r="E79" s="181">
        <v>118137</v>
      </c>
      <c r="F79" s="182">
        <v>42.056603773584904</v>
      </c>
      <c r="G79" s="183">
        <v>2412019.0199999902</v>
      </c>
      <c r="H79" s="183">
        <v>963693.37000004121</v>
      </c>
      <c r="I79" s="183">
        <v>235591.93999999997</v>
      </c>
      <c r="J79" s="183">
        <v>852235.51999999024</v>
      </c>
      <c r="K79" s="183">
        <v>7.2139593861363522</v>
      </c>
      <c r="L79" s="184">
        <v>1.0000000000000115</v>
      </c>
      <c r="M79" s="184">
        <v>0.85054090079274736</v>
      </c>
      <c r="N79" s="201"/>
      <c r="O79" s="183"/>
      <c r="P79" s="184">
        <v>0</v>
      </c>
      <c r="Q79" s="184"/>
      <c r="R79" s="202"/>
    </row>
    <row r="80" spans="1:20" s="203" customFormat="1" ht="15" customHeight="1">
      <c r="A80" s="197"/>
      <c r="B80" s="198"/>
      <c r="C80" s="206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2"/>
    </row>
    <row r="81" spans="1:18" s="203" customFormat="1" ht="15" customHeight="1">
      <c r="A81" s="197"/>
      <c r="B81" s="198"/>
      <c r="C81" s="206"/>
      <c r="D81" s="206"/>
      <c r="E81" s="206"/>
      <c r="F81" s="206"/>
      <c r="G81" s="206"/>
      <c r="H81" s="206"/>
      <c r="I81" s="206"/>
      <c r="J81" s="206"/>
      <c r="K81" s="206"/>
      <c r="L81" s="206"/>
      <c r="M81" s="206"/>
      <c r="N81" s="206"/>
      <c r="O81" s="206"/>
      <c r="P81" s="207"/>
      <c r="Q81" s="207"/>
      <c r="R81" s="202"/>
    </row>
    <row r="82" spans="1:18" s="203" customFormat="1" ht="15" customHeight="1">
      <c r="A82" s="197"/>
      <c r="B82" s="198"/>
      <c r="C82" s="205" t="s">
        <v>136</v>
      </c>
      <c r="D82" s="205"/>
      <c r="E82" s="206"/>
      <c r="F82" s="206"/>
      <c r="G82" s="183">
        <v>858.6753364186543</v>
      </c>
      <c r="H82" s="206"/>
      <c r="I82" s="206"/>
      <c r="J82" s="183">
        <v>303.39463154147381</v>
      </c>
      <c r="K82" s="206"/>
      <c r="L82" s="206"/>
      <c r="M82" s="206"/>
      <c r="N82" s="206"/>
      <c r="O82" s="206"/>
      <c r="P82" s="207"/>
      <c r="Q82" s="207"/>
      <c r="R82" s="202"/>
    </row>
    <row r="83" spans="1:18" s="203" customFormat="1" ht="15" customHeight="1">
      <c r="A83" s="197"/>
      <c r="B83" s="198"/>
      <c r="C83" s="206"/>
      <c r="D83" s="206"/>
      <c r="E83" s="206"/>
      <c r="F83" s="206"/>
      <c r="G83" s="206"/>
      <c r="H83" s="206"/>
      <c r="I83" s="206"/>
      <c r="J83" s="206"/>
      <c r="K83" s="206"/>
      <c r="L83" s="206"/>
      <c r="M83" s="206"/>
      <c r="N83" s="206"/>
      <c r="O83" s="206"/>
      <c r="P83" s="207"/>
      <c r="Q83" s="207"/>
      <c r="R83" s="202"/>
    </row>
    <row r="84" spans="1:18" s="203" customFormat="1" ht="15" customHeight="1">
      <c r="A84" s="197"/>
      <c r="B84" s="198"/>
      <c r="C84" s="205" t="s">
        <v>137</v>
      </c>
      <c r="D84" s="205"/>
      <c r="E84" s="206"/>
      <c r="F84" s="206"/>
      <c r="G84" s="206"/>
      <c r="H84" s="185">
        <v>0.46974583728696528</v>
      </c>
      <c r="I84" s="185">
        <v>0.11483770311023359</v>
      </c>
      <c r="J84" s="185">
        <v>0.4154164596028011</v>
      </c>
      <c r="K84" s="206"/>
      <c r="L84" s="206"/>
      <c r="M84" s="206"/>
      <c r="N84" s="206"/>
      <c r="O84" s="206"/>
      <c r="P84" s="207"/>
      <c r="Q84" s="207"/>
      <c r="R84" s="202"/>
    </row>
    <row r="85" spans="1:18" s="203" customFormat="1" ht="15" customHeight="1">
      <c r="A85" s="197"/>
      <c r="B85" s="198"/>
      <c r="C85" s="206"/>
      <c r="D85" s="206"/>
      <c r="E85" s="206"/>
      <c r="F85" s="206"/>
      <c r="G85" s="206"/>
      <c r="H85" s="206"/>
      <c r="I85" s="206"/>
      <c r="J85" s="206"/>
      <c r="K85" s="206"/>
      <c r="L85" s="206"/>
      <c r="M85" s="206"/>
      <c r="N85" s="206"/>
      <c r="O85" s="206"/>
      <c r="P85" s="207"/>
      <c r="Q85" s="207"/>
      <c r="R85" s="202"/>
    </row>
    <row r="86" spans="1:18" s="203" customFormat="1" ht="15" customHeight="1">
      <c r="A86" s="197"/>
      <c r="B86" s="198"/>
      <c r="C86" s="206"/>
      <c r="D86" s="207"/>
      <c r="E86" s="207"/>
      <c r="F86" s="207"/>
      <c r="G86" s="207"/>
      <c r="H86" s="207"/>
      <c r="I86" s="207"/>
      <c r="J86" s="207"/>
      <c r="K86" s="207"/>
      <c r="L86" s="207"/>
      <c r="M86" s="207"/>
      <c r="N86" s="207"/>
      <c r="O86" s="207"/>
      <c r="P86" s="207"/>
      <c r="Q86" s="207"/>
      <c r="R86" s="202"/>
    </row>
    <row r="87" spans="1:18" s="203" customFormat="1" ht="15" customHeight="1">
      <c r="A87" s="197"/>
      <c r="B87" s="198"/>
      <c r="C87" s="206"/>
      <c r="D87" s="206"/>
      <c r="E87" s="206"/>
      <c r="F87" s="206"/>
      <c r="G87" s="206"/>
      <c r="H87" s="206"/>
      <c r="I87" s="206"/>
      <c r="J87" s="206"/>
      <c r="K87" s="206"/>
      <c r="L87" s="206"/>
      <c r="M87" s="206"/>
      <c r="N87" s="206"/>
      <c r="O87" s="206"/>
      <c r="P87" s="207"/>
      <c r="Q87" s="207"/>
      <c r="R87" s="202"/>
    </row>
    <row r="88" spans="1:18" s="203" customFormat="1" ht="12" customHeight="1">
      <c r="A88" s="197"/>
      <c r="B88" s="208"/>
      <c r="C88" s="209"/>
      <c r="D88" s="209"/>
      <c r="E88" s="209"/>
      <c r="F88" s="209"/>
      <c r="G88" s="209"/>
      <c r="H88" s="209"/>
      <c r="I88" s="209"/>
      <c r="J88" s="209"/>
      <c r="K88" s="209"/>
      <c r="L88" s="209"/>
      <c r="M88" s="209"/>
      <c r="N88" s="209"/>
      <c r="O88" s="209"/>
      <c r="P88" s="210"/>
      <c r="Q88" s="210"/>
      <c r="R88" s="211"/>
    </row>
    <row r="89" spans="1:18" ht="15.75">
      <c r="G89" s="53"/>
      <c r="J89" s="53"/>
      <c r="K89" s="1"/>
      <c r="L89" s="1"/>
      <c r="M89" s="1"/>
      <c r="N89" s="1"/>
      <c r="O89" s="1"/>
      <c r="P89" s="18"/>
      <c r="Q89" s="18"/>
    </row>
    <row r="90" spans="1:18" ht="15.75">
      <c r="G90" s="1"/>
      <c r="H90" s="222"/>
      <c r="I90" s="1"/>
      <c r="J90" s="1"/>
      <c r="K90" s="1"/>
      <c r="L90" s="1"/>
      <c r="M90" s="1"/>
      <c r="N90" s="1"/>
      <c r="O90" s="1"/>
      <c r="P90" s="18"/>
      <c r="Q90" s="18"/>
    </row>
    <row r="91" spans="1:18">
      <c r="H91" s="1"/>
      <c r="I91" s="1"/>
      <c r="J91" s="1"/>
    </row>
    <row r="109" spans="1:1" s="203" customFormat="1">
      <c r="A109" s="197"/>
    </row>
    <row r="110" spans="1:1" s="203" customFormat="1">
      <c r="A110" s="197"/>
    </row>
    <row r="111" spans="1:1" s="203" customFormat="1">
      <c r="A111" s="197"/>
    </row>
    <row r="112" spans="1:1" s="203" customFormat="1">
      <c r="A112" s="197"/>
    </row>
    <row r="113" spans="1:1" s="203" customFormat="1">
      <c r="A113" s="197"/>
    </row>
    <row r="114" spans="1:1" s="203" customFormat="1">
      <c r="A114" s="197"/>
    </row>
    <row r="115" spans="1:1" s="203" customFormat="1">
      <c r="A115" s="197"/>
    </row>
    <row r="116" spans="1:1" s="203" customFormat="1">
      <c r="A116" s="197"/>
    </row>
    <row r="117" spans="1:1" s="203" customFormat="1">
      <c r="A117" s="197"/>
    </row>
    <row r="118" spans="1:1" s="203" customFormat="1">
      <c r="A118" s="197"/>
    </row>
    <row r="119" spans="1:1" s="203" customFormat="1">
      <c r="A119" s="197"/>
    </row>
    <row r="120" spans="1:1" s="203" customFormat="1">
      <c r="A120" s="197"/>
    </row>
    <row r="121" spans="1:1" s="203" customFormat="1">
      <c r="A121" s="197"/>
    </row>
    <row r="122" spans="1:1" s="203" customFormat="1">
      <c r="A122" s="197"/>
    </row>
    <row r="123" spans="1:1" s="203" customFormat="1">
      <c r="A123" s="197"/>
    </row>
    <row r="124" spans="1:1" s="203" customFormat="1">
      <c r="A124" s="197"/>
    </row>
    <row r="125" spans="1:1" s="203" customFormat="1">
      <c r="A125" s="197"/>
    </row>
    <row r="126" spans="1:1" s="203" customFormat="1">
      <c r="A126" s="197"/>
    </row>
    <row r="127" spans="1:1" s="203" customFormat="1">
      <c r="A127" s="197"/>
    </row>
    <row r="128" spans="1:1" s="203" customFormat="1">
      <c r="A128" s="197"/>
    </row>
    <row r="129" spans="1:1" s="203" customFormat="1">
      <c r="A129" s="197"/>
    </row>
    <row r="130" spans="1:1" s="203" customFormat="1">
      <c r="A130" s="197"/>
    </row>
    <row r="131" spans="1:1" s="203" customFormat="1">
      <c r="A131" s="197"/>
    </row>
    <row r="132" spans="1:1" s="203" customFormat="1">
      <c r="A132" s="197"/>
    </row>
  </sheetData>
  <mergeCells count="3">
    <mergeCell ref="O12:Q12"/>
    <mergeCell ref="E12:M12"/>
    <mergeCell ref="C8:Q8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19">
    <tabColor theme="4" tint="0.79998168889431442"/>
  </sheetPr>
  <dimension ref="A1:V98"/>
  <sheetViews>
    <sheetView showGridLines="0" topLeftCell="A47" zoomScale="70" zoomScaleNormal="70" workbookViewId="0">
      <selection activeCell="A86" sqref="A86:XFD86"/>
    </sheetView>
  </sheetViews>
  <sheetFormatPr baseColWidth="10" defaultColWidth="11.42578125" defaultRowHeight="15"/>
  <cols>
    <col min="1" max="1" width="2.85546875" style="108" customWidth="1"/>
    <col min="2" max="2" width="4.28515625" style="117" customWidth="1"/>
    <col min="3" max="3" width="10" style="117" customWidth="1"/>
    <col min="4" max="4" width="50.7109375" style="117" customWidth="1"/>
    <col min="5" max="6" width="21.42578125" style="117" customWidth="1"/>
    <col min="7" max="7" width="26.7109375" style="219" customWidth="1"/>
    <col min="8" max="10" width="14.28515625" style="117" customWidth="1"/>
    <col min="11" max="11" width="10.42578125" style="117" customWidth="1"/>
    <col min="12" max="12" width="7.28515625" style="117" customWidth="1"/>
    <col min="13" max="13" width="10.7109375" style="117" customWidth="1"/>
    <col min="14" max="14" width="1.42578125" style="117" customWidth="1"/>
    <col min="15" max="15" width="7.5703125" style="117" customWidth="1"/>
    <col min="16" max="16" width="6.85546875" style="117" customWidth="1"/>
    <col min="17" max="17" width="10.7109375" style="117" customWidth="1"/>
    <col min="18" max="18" width="4.28515625" style="117" customWidth="1"/>
    <col min="19" max="19" width="2.85546875" style="117" customWidth="1"/>
    <col min="20" max="21" width="11.42578125" style="117" customWidth="1"/>
    <col min="22" max="22" width="16.7109375" style="117" bestFit="1" customWidth="1"/>
    <col min="23" max="26" width="11.42578125" style="117" customWidth="1"/>
    <col min="27" max="16384" width="11.42578125" style="117"/>
  </cols>
  <sheetData>
    <row r="1" spans="1:22">
      <c r="B1" s="108"/>
      <c r="C1" s="108"/>
      <c r="D1" s="108"/>
      <c r="E1" s="108"/>
      <c r="F1" s="108"/>
      <c r="G1" s="236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</row>
    <row r="2" spans="1:22" ht="15" customHeight="1">
      <c r="B2" s="69"/>
      <c r="C2" s="70"/>
      <c r="D2" s="70"/>
      <c r="E2" s="70"/>
      <c r="F2" s="70"/>
      <c r="G2" s="237"/>
      <c r="H2" s="70"/>
      <c r="I2" s="70"/>
      <c r="J2" s="70"/>
      <c r="K2" s="70"/>
      <c r="L2" s="70"/>
      <c r="M2" s="70"/>
      <c r="N2" s="70"/>
      <c r="O2" s="70"/>
      <c r="P2" s="70"/>
      <c r="Q2" s="70"/>
      <c r="R2" s="71"/>
      <c r="V2" s="41"/>
    </row>
    <row r="3" spans="1:22" ht="15" customHeight="1">
      <c r="B3" s="73"/>
      <c r="R3" s="74"/>
    </row>
    <row r="4" spans="1:22" ht="15" customHeight="1">
      <c r="B4" s="73"/>
      <c r="R4" s="74"/>
    </row>
    <row r="5" spans="1:22" ht="15" customHeight="1">
      <c r="B5" s="73"/>
      <c r="R5" s="74"/>
    </row>
    <row r="6" spans="1:22" ht="15" customHeight="1" thickBot="1">
      <c r="B6" s="73"/>
      <c r="R6" s="74"/>
    </row>
    <row r="7" spans="1:22" ht="15" hidden="1" customHeight="1">
      <c r="B7" s="73"/>
      <c r="R7" s="74"/>
    </row>
    <row r="8" spans="1:22" ht="60" customHeight="1" thickBot="1">
      <c r="B8" s="73"/>
      <c r="C8" s="255" t="s">
        <v>233</v>
      </c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7"/>
      <c r="R8" s="74"/>
    </row>
    <row r="9" spans="1:22">
      <c r="B9" s="73"/>
      <c r="R9" s="74"/>
    </row>
    <row r="10" spans="1:22">
      <c r="B10" s="73"/>
      <c r="R10" s="74"/>
    </row>
    <row r="11" spans="1:22">
      <c r="B11" s="73"/>
      <c r="R11" s="74"/>
    </row>
    <row r="12" spans="1:22">
      <c r="B12" s="73"/>
      <c r="C12" s="39"/>
      <c r="D12" s="39"/>
      <c r="E12" s="276" t="s">
        <v>68</v>
      </c>
      <c r="F12" s="277"/>
      <c r="G12" s="278"/>
      <c r="H12" s="39"/>
      <c r="I12" s="39"/>
      <c r="M12" s="39"/>
      <c r="N12" s="37"/>
      <c r="R12" s="74"/>
    </row>
    <row r="13" spans="1:22">
      <c r="B13" s="73"/>
      <c r="C13" s="39"/>
      <c r="D13" s="39"/>
      <c r="E13" s="39"/>
      <c r="F13" s="39"/>
      <c r="G13" s="238"/>
      <c r="H13" s="39"/>
      <c r="I13" s="39"/>
      <c r="J13" s="39"/>
      <c r="K13" s="39"/>
      <c r="L13" s="39"/>
      <c r="M13" s="39"/>
      <c r="N13" s="37"/>
      <c r="R13" s="74"/>
    </row>
    <row r="14" spans="1:22" ht="45" customHeight="1">
      <c r="B14" s="73"/>
      <c r="C14" s="39"/>
      <c r="D14" s="39"/>
      <c r="E14" s="233">
        <v>2019</v>
      </c>
      <c r="F14" s="233">
        <v>2020</v>
      </c>
      <c r="G14" s="234" t="s">
        <v>138</v>
      </c>
      <c r="H14" s="39"/>
      <c r="I14" s="39"/>
      <c r="J14" s="39"/>
      <c r="K14" s="39"/>
      <c r="L14" s="39"/>
      <c r="M14" s="39"/>
      <c r="N14" s="37"/>
      <c r="R14" s="74"/>
    </row>
    <row r="15" spans="1:22" s="203" customFormat="1" ht="15" customHeight="1" thickBot="1">
      <c r="A15" s="197"/>
      <c r="B15" s="198"/>
      <c r="C15" s="199" t="s">
        <v>72</v>
      </c>
      <c r="D15" s="200"/>
      <c r="E15" s="100">
        <v>61239.750000000116</v>
      </c>
      <c r="F15" s="100">
        <v>-65691.029999999926</v>
      </c>
      <c r="G15" s="239">
        <v>-2.0726861229838431</v>
      </c>
      <c r="H15" s="39"/>
      <c r="I15" s="39"/>
      <c r="J15" s="39"/>
      <c r="K15" s="39"/>
      <c r="L15" s="39"/>
      <c r="M15" s="39"/>
      <c r="N15" s="201"/>
      <c r="O15" s="117"/>
      <c r="P15" s="117"/>
      <c r="Q15" s="117"/>
      <c r="R15" s="202"/>
      <c r="T15" s="223"/>
    </row>
    <row r="16" spans="1:22" s="203" customFormat="1" ht="15" customHeight="1" thickBot="1">
      <c r="A16" s="197"/>
      <c r="B16" s="198"/>
      <c r="C16" s="212"/>
      <c r="D16" s="213" t="s">
        <v>73</v>
      </c>
      <c r="E16" s="193">
        <v>5058.7600000000202</v>
      </c>
      <c r="F16" s="193">
        <v>7174.8900000000804</v>
      </c>
      <c r="G16" s="240">
        <v>0.41831002063747857</v>
      </c>
      <c r="H16" s="40"/>
      <c r="I16" s="40"/>
      <c r="J16" s="40"/>
      <c r="K16" s="40"/>
      <c r="L16" s="40"/>
      <c r="M16" s="40"/>
      <c r="N16" s="214"/>
      <c r="O16" s="104"/>
      <c r="P16" s="104"/>
      <c r="Q16" s="104"/>
      <c r="R16" s="202"/>
      <c r="T16" s="223"/>
    </row>
    <row r="17" spans="1:20" s="203" customFormat="1" ht="15" customHeight="1" thickBot="1">
      <c r="A17" s="197"/>
      <c r="B17" s="198"/>
      <c r="C17" s="212"/>
      <c r="D17" s="213" t="s">
        <v>74</v>
      </c>
      <c r="E17" s="193">
        <v>-21360.81</v>
      </c>
      <c r="F17" s="193">
        <v>-145508.34</v>
      </c>
      <c r="G17" s="240">
        <v>5.811929884681339</v>
      </c>
      <c r="H17" s="40"/>
      <c r="I17" s="40"/>
      <c r="J17" s="40"/>
      <c r="K17" s="40"/>
      <c r="L17" s="40"/>
      <c r="M17" s="40"/>
      <c r="N17" s="214"/>
      <c r="O17" s="104"/>
      <c r="P17" s="104"/>
      <c r="Q17" s="104"/>
      <c r="R17" s="202"/>
      <c r="T17" s="223"/>
    </row>
    <row r="18" spans="1:20" s="203" customFormat="1" ht="15" customHeight="1" thickBot="1">
      <c r="A18" s="197"/>
      <c r="B18" s="198"/>
      <c r="C18" s="212"/>
      <c r="D18" s="213" t="s">
        <v>75</v>
      </c>
      <c r="E18" s="193">
        <v>33088.700000000099</v>
      </c>
      <c r="F18" s="193">
        <v>38630.410000000003</v>
      </c>
      <c r="G18" s="240">
        <v>0.16748043894138753</v>
      </c>
      <c r="H18" s="40"/>
      <c r="I18" s="40"/>
      <c r="J18" s="40"/>
      <c r="K18" s="40"/>
      <c r="L18" s="40"/>
      <c r="M18" s="40"/>
      <c r="N18" s="214"/>
      <c r="O18" s="104"/>
      <c r="P18" s="104"/>
      <c r="Q18" s="104"/>
      <c r="R18" s="202"/>
      <c r="T18" s="223"/>
    </row>
    <row r="19" spans="1:20" s="203" customFormat="1" ht="15" customHeight="1" thickBot="1">
      <c r="A19" s="197"/>
      <c r="B19" s="198"/>
      <c r="C19" s="212"/>
      <c r="D19" s="213" t="s">
        <v>76</v>
      </c>
      <c r="E19" s="193">
        <v>30.9</v>
      </c>
      <c r="F19" s="193">
        <v>180</v>
      </c>
      <c r="G19" s="240">
        <v>4.825242718446602</v>
      </c>
      <c r="H19" s="40"/>
      <c r="I19" s="40"/>
      <c r="J19" s="40"/>
      <c r="K19" s="40"/>
      <c r="L19" s="40"/>
      <c r="M19" s="40"/>
      <c r="N19" s="214"/>
      <c r="O19" s="104"/>
      <c r="P19" s="104"/>
      <c r="Q19" s="104"/>
      <c r="R19" s="202"/>
      <c r="T19" s="223"/>
    </row>
    <row r="20" spans="1:20" s="203" customFormat="1" ht="15" customHeight="1" thickBot="1">
      <c r="A20" s="197"/>
      <c r="B20" s="198"/>
      <c r="C20" s="212"/>
      <c r="D20" s="213" t="s">
        <v>77</v>
      </c>
      <c r="E20" s="193">
        <v>36719.199999999997</v>
      </c>
      <c r="F20" s="193">
        <v>30332.01</v>
      </c>
      <c r="G20" s="240">
        <v>-0.17394687248088192</v>
      </c>
      <c r="H20" s="40"/>
      <c r="I20" s="40"/>
      <c r="J20" s="40"/>
      <c r="K20" s="40"/>
      <c r="L20" s="40"/>
      <c r="M20" s="40"/>
      <c r="N20" s="214"/>
      <c r="O20" s="104"/>
      <c r="P20" s="104"/>
      <c r="Q20" s="104"/>
      <c r="R20" s="202"/>
      <c r="T20" s="223"/>
    </row>
    <row r="21" spans="1:20" s="203" customFormat="1" ht="15" customHeight="1" thickBot="1">
      <c r="A21" s="197"/>
      <c r="B21" s="198"/>
      <c r="C21" s="212"/>
      <c r="D21" s="213" t="s">
        <v>78</v>
      </c>
      <c r="E21" s="193">
        <v>7703</v>
      </c>
      <c r="F21" s="193">
        <v>3500</v>
      </c>
      <c r="G21" s="240">
        <v>-0.54563157211476043</v>
      </c>
      <c r="H21" s="40"/>
      <c r="I21" s="40"/>
      <c r="J21" s="40"/>
      <c r="K21" s="40"/>
      <c r="L21" s="40"/>
      <c r="M21" s="40"/>
      <c r="N21" s="214"/>
      <c r="O21" s="104"/>
      <c r="P21" s="104"/>
      <c r="Q21" s="104"/>
      <c r="R21" s="202"/>
      <c r="T21" s="223"/>
    </row>
    <row r="22" spans="1:20" s="203" customFormat="1" ht="15" customHeight="1" thickBot="1">
      <c r="A22" s="197"/>
      <c r="B22" s="198"/>
      <c r="C22" s="199" t="s">
        <v>79</v>
      </c>
      <c r="D22" s="200"/>
      <c r="E22" s="100">
        <v>1054.83</v>
      </c>
      <c r="F22" s="100">
        <v>480</v>
      </c>
      <c r="G22" s="239">
        <v>-0.54495037114985356</v>
      </c>
      <c r="H22" s="39"/>
      <c r="I22" s="39"/>
      <c r="J22" s="39"/>
      <c r="K22" s="39"/>
      <c r="L22" s="39"/>
      <c r="M22" s="39"/>
      <c r="N22" s="201"/>
      <c r="R22" s="202"/>
      <c r="T22" s="223"/>
    </row>
    <row r="23" spans="1:20" s="203" customFormat="1" ht="15" customHeight="1" thickBot="1">
      <c r="A23" s="197"/>
      <c r="B23" s="198"/>
      <c r="C23" s="212"/>
      <c r="D23" s="213" t="s">
        <v>80</v>
      </c>
      <c r="E23" s="193">
        <v>1054.83</v>
      </c>
      <c r="F23" s="193">
        <v>480</v>
      </c>
      <c r="G23" s="240">
        <v>-0.54495037114985356</v>
      </c>
      <c r="H23" s="40"/>
      <c r="I23" s="40"/>
      <c r="J23" s="40"/>
      <c r="K23" s="40"/>
      <c r="L23" s="40"/>
      <c r="M23" s="40"/>
      <c r="N23" s="214"/>
      <c r="O23" s="104"/>
      <c r="P23" s="104"/>
      <c r="Q23" s="104"/>
      <c r="R23" s="202"/>
      <c r="T23" s="223"/>
    </row>
    <row r="24" spans="1:20" s="203" customFormat="1" ht="15" customHeight="1" thickBot="1">
      <c r="A24" s="197"/>
      <c r="B24" s="198"/>
      <c r="C24" s="199" t="s">
        <v>81</v>
      </c>
      <c r="D24" s="200"/>
      <c r="E24" s="100">
        <v>183787.7600000001</v>
      </c>
      <c r="F24" s="100">
        <v>205060.53</v>
      </c>
      <c r="G24" s="239">
        <v>0.11574639138101417</v>
      </c>
      <c r="H24" s="39"/>
      <c r="I24" s="39"/>
      <c r="J24" s="39"/>
      <c r="K24" s="39"/>
      <c r="L24" s="39"/>
      <c r="M24" s="39"/>
      <c r="N24" s="201"/>
      <c r="R24" s="202"/>
      <c r="T24" s="223"/>
    </row>
    <row r="25" spans="1:20" s="203" customFormat="1" ht="15" customHeight="1" thickBot="1">
      <c r="A25" s="197"/>
      <c r="B25" s="198"/>
      <c r="C25" s="212"/>
      <c r="D25" s="213" t="s">
        <v>82</v>
      </c>
      <c r="E25" s="193">
        <v>1097.44</v>
      </c>
      <c r="F25" s="193">
        <v>2581.4899999999998</v>
      </c>
      <c r="G25" s="240">
        <v>1.3522834961364629</v>
      </c>
      <c r="H25" s="40"/>
      <c r="I25" s="40"/>
      <c r="J25" s="40"/>
      <c r="K25" s="40"/>
      <c r="L25" s="40"/>
      <c r="M25" s="40"/>
      <c r="N25" s="214"/>
      <c r="O25" s="104"/>
      <c r="P25" s="104"/>
      <c r="Q25" s="104"/>
      <c r="R25" s="202"/>
      <c r="T25" s="223"/>
    </row>
    <row r="26" spans="1:20" s="203" customFormat="1" ht="15" customHeight="1" thickBot="1">
      <c r="A26" s="197"/>
      <c r="B26" s="198"/>
      <c r="C26" s="212"/>
      <c r="D26" s="213" t="s">
        <v>139</v>
      </c>
      <c r="E26" s="193">
        <v>559</v>
      </c>
      <c r="F26" s="193">
        <v>0</v>
      </c>
      <c r="G26" s="240">
        <v>-1</v>
      </c>
      <c r="H26" s="40"/>
      <c r="I26" s="40"/>
      <c r="J26" s="40"/>
      <c r="K26" s="40"/>
      <c r="L26" s="40"/>
      <c r="M26" s="40"/>
      <c r="N26" s="214"/>
      <c r="O26" s="104"/>
      <c r="P26" s="104"/>
      <c r="Q26" s="104"/>
      <c r="R26" s="202"/>
      <c r="T26" s="223"/>
    </row>
    <row r="27" spans="1:20" s="203" customFormat="1" ht="15" customHeight="1" thickBot="1">
      <c r="A27" s="197"/>
      <c r="B27" s="198"/>
      <c r="C27" s="212"/>
      <c r="D27" s="213" t="s">
        <v>83</v>
      </c>
      <c r="E27" s="193">
        <v>400</v>
      </c>
      <c r="F27" s="193">
        <v>1669</v>
      </c>
      <c r="G27" s="240">
        <v>3.1725000000000003</v>
      </c>
      <c r="H27" s="40"/>
      <c r="I27" s="40"/>
      <c r="J27" s="40"/>
      <c r="K27" s="40"/>
      <c r="L27" s="40"/>
      <c r="M27" s="40"/>
      <c r="N27" s="214"/>
      <c r="O27" s="104"/>
      <c r="P27" s="104"/>
      <c r="Q27" s="104"/>
      <c r="R27" s="202"/>
      <c r="T27" s="223"/>
    </row>
    <row r="28" spans="1:20" s="203" customFormat="1" ht="15" customHeight="1" thickBot="1">
      <c r="A28" s="197"/>
      <c r="B28" s="198"/>
      <c r="C28" s="212"/>
      <c r="D28" s="213" t="s">
        <v>84</v>
      </c>
      <c r="E28" s="193">
        <v>716</v>
      </c>
      <c r="F28" s="193">
        <v>2020</v>
      </c>
      <c r="G28" s="240">
        <v>1.8212290502793298</v>
      </c>
      <c r="H28" s="40"/>
      <c r="I28" s="40"/>
      <c r="J28" s="40"/>
      <c r="K28" s="40"/>
      <c r="L28" s="40"/>
      <c r="M28" s="40"/>
      <c r="N28" s="214"/>
      <c r="O28" s="104"/>
      <c r="P28" s="104"/>
      <c r="Q28" s="104"/>
      <c r="R28" s="202"/>
      <c r="T28" s="223"/>
    </row>
    <row r="29" spans="1:20" s="203" customFormat="1" ht="15" customHeight="1" thickBot="1">
      <c r="A29" s="197"/>
      <c r="B29" s="198"/>
      <c r="C29" s="212"/>
      <c r="D29" s="213" t="s">
        <v>85</v>
      </c>
      <c r="E29" s="193">
        <v>834.75</v>
      </c>
      <c r="F29" s="193">
        <v>4272</v>
      </c>
      <c r="G29" s="240">
        <v>4.1176999101527407</v>
      </c>
      <c r="H29" s="40"/>
      <c r="I29" s="40"/>
      <c r="J29" s="40"/>
      <c r="K29" s="40"/>
      <c r="L29" s="40"/>
      <c r="M29" s="40"/>
      <c r="N29" s="214"/>
      <c r="O29" s="104"/>
      <c r="P29" s="104"/>
      <c r="Q29" s="104"/>
      <c r="R29" s="202"/>
      <c r="T29" s="223"/>
    </row>
    <row r="30" spans="1:20" s="203" customFormat="1" ht="15" customHeight="1" thickBot="1">
      <c r="A30" s="197"/>
      <c r="B30" s="198"/>
      <c r="C30" s="212"/>
      <c r="D30" s="213" t="s">
        <v>86</v>
      </c>
      <c r="E30" s="193">
        <v>833.25</v>
      </c>
      <c r="F30" s="193">
        <v>2028</v>
      </c>
      <c r="G30" s="240">
        <v>1.4338433843384339</v>
      </c>
      <c r="H30" s="40"/>
      <c r="I30" s="40"/>
      <c r="J30" s="40"/>
      <c r="K30" s="40"/>
      <c r="L30" s="40"/>
      <c r="M30" s="40"/>
      <c r="N30" s="214"/>
      <c r="O30" s="104"/>
      <c r="P30" s="104"/>
      <c r="Q30" s="104"/>
      <c r="R30" s="202"/>
      <c r="T30" s="223"/>
    </row>
    <row r="31" spans="1:20" s="203" customFormat="1" ht="15" customHeight="1" thickBot="1">
      <c r="A31" s="197"/>
      <c r="B31" s="198"/>
      <c r="C31" s="212"/>
      <c r="D31" s="213" t="s">
        <v>87</v>
      </c>
      <c r="E31" s="193">
        <v>0</v>
      </c>
      <c r="F31" s="193">
        <v>2329.35</v>
      </c>
      <c r="G31" s="240"/>
      <c r="H31" s="40"/>
      <c r="I31" s="40"/>
      <c r="J31" s="40"/>
      <c r="K31" s="40"/>
      <c r="L31" s="40"/>
      <c r="M31" s="40"/>
      <c r="N31" s="214"/>
      <c r="O31" s="104"/>
      <c r="P31" s="104"/>
      <c r="Q31" s="104"/>
      <c r="R31" s="202"/>
      <c r="T31" s="223"/>
    </row>
    <row r="32" spans="1:20" s="203" customFormat="1" ht="15" customHeight="1" thickBot="1">
      <c r="A32" s="197"/>
      <c r="B32" s="198"/>
      <c r="C32" s="212"/>
      <c r="D32" s="213" t="s">
        <v>140</v>
      </c>
      <c r="E32" s="193">
        <v>16011.75</v>
      </c>
      <c r="F32" s="193">
        <v>0</v>
      </c>
      <c r="G32" s="240">
        <v>-1</v>
      </c>
      <c r="H32" s="40"/>
      <c r="I32" s="40"/>
      <c r="J32" s="40"/>
      <c r="K32" s="40"/>
      <c r="L32" s="40"/>
      <c r="M32" s="40"/>
      <c r="N32" s="214"/>
      <c r="O32" s="104"/>
      <c r="P32" s="104"/>
      <c r="Q32" s="104"/>
      <c r="R32" s="202"/>
      <c r="T32" s="223"/>
    </row>
    <row r="33" spans="1:20" s="203" customFormat="1" ht="15" customHeight="1" thickBot="1">
      <c r="A33" s="197"/>
      <c r="B33" s="198"/>
      <c r="C33" s="212"/>
      <c r="D33" s="213" t="s">
        <v>88</v>
      </c>
      <c r="E33" s="193">
        <v>16903</v>
      </c>
      <c r="F33" s="193">
        <v>30649</v>
      </c>
      <c r="G33" s="240">
        <v>0.81322842099035664</v>
      </c>
      <c r="H33" s="40"/>
      <c r="I33" s="40"/>
      <c r="J33" s="40"/>
      <c r="K33" s="40"/>
      <c r="L33" s="40"/>
      <c r="M33" s="40"/>
      <c r="N33" s="214"/>
      <c r="O33" s="104"/>
      <c r="P33" s="104"/>
      <c r="Q33" s="104"/>
      <c r="R33" s="202"/>
      <c r="T33" s="223"/>
    </row>
    <row r="34" spans="1:20" s="203" customFormat="1" ht="15" customHeight="1" thickBot="1">
      <c r="A34" s="197"/>
      <c r="B34" s="198"/>
      <c r="C34" s="212"/>
      <c r="D34" s="213" t="s">
        <v>89</v>
      </c>
      <c r="E34" s="193">
        <v>851</v>
      </c>
      <c r="F34" s="193">
        <v>4126</v>
      </c>
      <c r="G34" s="240">
        <v>3.8484136310223267</v>
      </c>
      <c r="H34" s="40"/>
      <c r="I34" s="40"/>
      <c r="J34" s="40"/>
      <c r="K34" s="40"/>
      <c r="L34" s="40"/>
      <c r="M34" s="40"/>
      <c r="N34" s="214"/>
      <c r="O34" s="104"/>
      <c r="P34" s="104"/>
      <c r="Q34" s="104"/>
      <c r="R34" s="202"/>
      <c r="T34" s="223"/>
    </row>
    <row r="35" spans="1:20" s="203" customFormat="1" ht="15" customHeight="1" thickBot="1">
      <c r="A35" s="197"/>
      <c r="B35" s="198"/>
      <c r="C35" s="212"/>
      <c r="D35" s="213" t="s">
        <v>90</v>
      </c>
      <c r="E35" s="193">
        <v>835</v>
      </c>
      <c r="F35" s="193">
        <v>5040</v>
      </c>
      <c r="G35" s="240">
        <v>5.0359281437125745</v>
      </c>
      <c r="H35" s="40"/>
      <c r="I35" s="40"/>
      <c r="J35" s="40"/>
      <c r="K35" s="40"/>
      <c r="L35" s="40"/>
      <c r="M35" s="40"/>
      <c r="N35" s="214"/>
      <c r="O35" s="104"/>
      <c r="P35" s="104"/>
      <c r="Q35" s="104"/>
      <c r="R35" s="202"/>
      <c r="T35" s="223"/>
    </row>
    <row r="36" spans="1:20" s="203" customFormat="1" ht="15" customHeight="1" thickBot="1">
      <c r="A36" s="197"/>
      <c r="B36" s="198"/>
      <c r="C36" s="212"/>
      <c r="D36" s="213" t="s">
        <v>91</v>
      </c>
      <c r="E36" s="193">
        <v>1434.75</v>
      </c>
      <c r="F36" s="193">
        <v>1300</v>
      </c>
      <c r="G36" s="240">
        <v>-9.3918801184875389E-2</v>
      </c>
      <c r="H36" s="40"/>
      <c r="I36" s="40"/>
      <c r="J36" s="40"/>
      <c r="K36" s="40"/>
      <c r="L36" s="40"/>
      <c r="M36" s="40"/>
      <c r="N36" s="214"/>
      <c r="O36" s="104"/>
      <c r="P36" s="104"/>
      <c r="Q36" s="104"/>
      <c r="R36" s="202"/>
      <c r="T36" s="223"/>
    </row>
    <row r="37" spans="1:20" s="203" customFormat="1" ht="15" customHeight="1" thickBot="1">
      <c r="A37" s="197"/>
      <c r="B37" s="198"/>
      <c r="C37" s="212"/>
      <c r="D37" s="213" t="s">
        <v>92</v>
      </c>
      <c r="E37" s="193">
        <v>56198.5</v>
      </c>
      <c r="F37" s="193">
        <v>48128.41</v>
      </c>
      <c r="G37" s="240">
        <v>-0.14359974020658905</v>
      </c>
      <c r="H37" s="40"/>
      <c r="I37" s="40"/>
      <c r="J37" s="40"/>
      <c r="K37" s="40"/>
      <c r="L37" s="40"/>
      <c r="M37" s="40"/>
      <c r="N37" s="214"/>
      <c r="O37" s="104"/>
      <c r="P37" s="104"/>
      <c r="Q37" s="104"/>
      <c r="R37" s="202"/>
      <c r="T37" s="223"/>
    </row>
    <row r="38" spans="1:20" s="203" customFormat="1" ht="15" customHeight="1" thickBot="1">
      <c r="A38" s="197"/>
      <c r="B38" s="198"/>
      <c r="C38" s="212"/>
      <c r="D38" s="213" t="s">
        <v>93</v>
      </c>
      <c r="E38" s="193">
        <v>2415</v>
      </c>
      <c r="F38" s="193">
        <v>1230</v>
      </c>
      <c r="G38" s="240">
        <v>-0.49068322981366463</v>
      </c>
      <c r="H38" s="40"/>
      <c r="I38" s="40"/>
      <c r="J38" s="40"/>
      <c r="K38" s="40"/>
      <c r="L38" s="40"/>
      <c r="M38" s="40"/>
      <c r="N38" s="214"/>
      <c r="O38" s="104"/>
      <c r="P38" s="104"/>
      <c r="Q38" s="104"/>
      <c r="R38" s="202"/>
      <c r="T38" s="223"/>
    </row>
    <row r="39" spans="1:20" s="203" customFormat="1" ht="15" customHeight="1" thickBot="1">
      <c r="A39" s="197"/>
      <c r="B39" s="198"/>
      <c r="C39" s="212"/>
      <c r="D39" s="213" t="s">
        <v>94</v>
      </c>
      <c r="E39" s="193">
        <v>3766.48</v>
      </c>
      <c r="F39" s="193">
        <v>3054.32</v>
      </c>
      <c r="G39" s="240">
        <v>-0.18907839680550531</v>
      </c>
      <c r="H39" s="40"/>
      <c r="I39" s="40"/>
      <c r="J39" s="40"/>
      <c r="K39" s="40"/>
      <c r="L39" s="40"/>
      <c r="M39" s="40"/>
      <c r="N39" s="214"/>
      <c r="O39" s="104"/>
      <c r="P39" s="104"/>
      <c r="Q39" s="104"/>
      <c r="R39" s="202"/>
      <c r="T39" s="223"/>
    </row>
    <row r="40" spans="1:20" s="203" customFormat="1" ht="15" customHeight="1" thickBot="1">
      <c r="A40" s="197"/>
      <c r="B40" s="198"/>
      <c r="C40" s="212"/>
      <c r="D40" s="213" t="s">
        <v>141</v>
      </c>
      <c r="E40" s="193">
        <v>48</v>
      </c>
      <c r="F40" s="193">
        <v>0</v>
      </c>
      <c r="G40" s="240">
        <v>-1</v>
      </c>
      <c r="H40" s="40"/>
      <c r="I40" s="40"/>
      <c r="J40" s="40"/>
      <c r="K40" s="40"/>
      <c r="L40" s="40"/>
      <c r="M40" s="40"/>
      <c r="N40" s="214"/>
      <c r="O40" s="104"/>
      <c r="P40" s="104"/>
      <c r="Q40" s="104"/>
      <c r="R40" s="202"/>
      <c r="T40" s="223"/>
    </row>
    <row r="41" spans="1:20" s="203" customFormat="1" ht="15" customHeight="1" thickBot="1">
      <c r="A41" s="197"/>
      <c r="B41" s="198"/>
      <c r="C41" s="212"/>
      <c r="D41" s="213" t="s">
        <v>142</v>
      </c>
      <c r="E41" s="193">
        <v>1377.62</v>
      </c>
      <c r="F41" s="193">
        <v>0</v>
      </c>
      <c r="G41" s="240">
        <v>-1</v>
      </c>
      <c r="H41" s="40"/>
      <c r="I41" s="40"/>
      <c r="J41" s="40"/>
      <c r="K41" s="40"/>
      <c r="L41" s="40"/>
      <c r="M41" s="40"/>
      <c r="N41" s="214"/>
      <c r="O41" s="104"/>
      <c r="P41" s="104"/>
      <c r="Q41" s="104"/>
      <c r="R41" s="202"/>
      <c r="T41" s="223"/>
    </row>
    <row r="42" spans="1:20" s="203" customFormat="1" ht="15" customHeight="1" thickBot="1">
      <c r="A42" s="197"/>
      <c r="B42" s="198"/>
      <c r="C42" s="212"/>
      <c r="D42" s="213" t="s">
        <v>95</v>
      </c>
      <c r="E42" s="193">
        <v>1763</v>
      </c>
      <c r="F42" s="193">
        <v>602.5</v>
      </c>
      <c r="G42" s="240">
        <v>-0.65825297787861592</v>
      </c>
      <c r="H42" s="40"/>
      <c r="I42" s="40"/>
      <c r="J42" s="40"/>
      <c r="K42" s="40"/>
      <c r="L42" s="40"/>
      <c r="M42" s="40"/>
      <c r="N42" s="214"/>
      <c r="O42" s="104"/>
      <c r="P42" s="104"/>
      <c r="Q42" s="104"/>
      <c r="R42" s="202"/>
      <c r="T42" s="223"/>
    </row>
    <row r="43" spans="1:20" s="203" customFormat="1" ht="15" customHeight="1" thickBot="1">
      <c r="A43" s="197"/>
      <c r="B43" s="198"/>
      <c r="C43" s="212"/>
      <c r="D43" s="213" t="s">
        <v>96</v>
      </c>
      <c r="E43" s="193">
        <v>0</v>
      </c>
      <c r="F43" s="193">
        <v>1082.32</v>
      </c>
      <c r="G43" s="240"/>
      <c r="H43" s="40"/>
      <c r="I43" s="40"/>
      <c r="J43" s="40"/>
      <c r="K43" s="40"/>
      <c r="L43" s="40"/>
      <c r="M43" s="40"/>
      <c r="N43" s="214"/>
      <c r="O43" s="104"/>
      <c r="P43" s="104"/>
      <c r="Q43" s="104"/>
      <c r="R43" s="202"/>
      <c r="T43" s="223"/>
    </row>
    <row r="44" spans="1:20" s="203" customFormat="1" ht="15" customHeight="1" thickBot="1">
      <c r="A44" s="197"/>
      <c r="B44" s="198"/>
      <c r="C44" s="212"/>
      <c r="D44" s="213" t="s">
        <v>97</v>
      </c>
      <c r="E44" s="193">
        <v>3332.5</v>
      </c>
      <c r="F44" s="193">
        <v>4426.18</v>
      </c>
      <c r="G44" s="240">
        <v>0.32818604651162797</v>
      </c>
      <c r="H44" s="40"/>
      <c r="I44" s="40"/>
      <c r="J44" s="40"/>
      <c r="K44" s="40"/>
      <c r="L44" s="40"/>
      <c r="M44" s="40"/>
      <c r="N44" s="214"/>
      <c r="O44" s="104"/>
      <c r="P44" s="104"/>
      <c r="Q44" s="104"/>
      <c r="R44" s="202"/>
      <c r="T44" s="223"/>
    </row>
    <row r="45" spans="1:20" s="203" customFormat="1" ht="15" customHeight="1" thickBot="1">
      <c r="A45" s="197"/>
      <c r="B45" s="198"/>
      <c r="C45" s="212"/>
      <c r="D45" s="213" t="s">
        <v>98</v>
      </c>
      <c r="E45" s="193">
        <v>12312.5</v>
      </c>
      <c r="F45" s="193">
        <v>31957.49</v>
      </c>
      <c r="G45" s="240">
        <v>1.5955321827411169</v>
      </c>
      <c r="H45" s="40"/>
      <c r="I45" s="40"/>
      <c r="J45" s="40"/>
      <c r="K45" s="40"/>
      <c r="L45" s="40"/>
      <c r="M45" s="40"/>
      <c r="N45" s="214"/>
      <c r="O45" s="104"/>
      <c r="P45" s="104"/>
      <c r="Q45" s="104"/>
      <c r="R45" s="202"/>
      <c r="T45" s="223"/>
    </row>
    <row r="46" spans="1:20" s="203" customFormat="1" ht="15" customHeight="1" thickBot="1">
      <c r="A46" s="197"/>
      <c r="B46" s="198"/>
      <c r="C46" s="212"/>
      <c r="D46" s="213" t="s">
        <v>99</v>
      </c>
      <c r="E46" s="193">
        <v>864</v>
      </c>
      <c r="F46" s="193">
        <v>2528.35</v>
      </c>
      <c r="G46" s="240">
        <v>1.9263310185185185</v>
      </c>
      <c r="H46" s="40"/>
      <c r="I46" s="40"/>
      <c r="J46" s="40"/>
      <c r="K46" s="40"/>
      <c r="L46" s="40"/>
      <c r="M46" s="40"/>
      <c r="N46" s="214"/>
      <c r="O46" s="104"/>
      <c r="P46" s="104"/>
      <c r="Q46" s="104"/>
      <c r="R46" s="202"/>
      <c r="T46" s="223"/>
    </row>
    <row r="47" spans="1:20" s="203" customFormat="1" ht="15" customHeight="1" thickBot="1">
      <c r="A47" s="197"/>
      <c r="B47" s="198"/>
      <c r="C47" s="212"/>
      <c r="D47" s="213" t="s">
        <v>100</v>
      </c>
      <c r="E47" s="193">
        <v>3642.26</v>
      </c>
      <c r="F47" s="193">
        <v>12085.35</v>
      </c>
      <c r="G47" s="240">
        <v>2.3180909654994424</v>
      </c>
      <c r="H47" s="40"/>
      <c r="I47" s="40"/>
      <c r="J47" s="40"/>
      <c r="K47" s="40"/>
      <c r="L47" s="40"/>
      <c r="M47" s="40"/>
      <c r="N47" s="214"/>
      <c r="O47" s="104"/>
      <c r="P47" s="104"/>
      <c r="Q47" s="104"/>
      <c r="R47" s="202"/>
      <c r="T47" s="223"/>
    </row>
    <row r="48" spans="1:20" s="203" customFormat="1" ht="15" customHeight="1" thickBot="1">
      <c r="A48" s="197"/>
      <c r="B48" s="198"/>
      <c r="C48" s="212"/>
      <c r="D48" s="213" t="s">
        <v>101</v>
      </c>
      <c r="E48" s="193">
        <v>3480.61</v>
      </c>
      <c r="F48" s="193">
        <v>16369.15</v>
      </c>
      <c r="G48" s="240">
        <v>3.7029543671942555</v>
      </c>
      <c r="H48" s="40"/>
      <c r="I48" s="40"/>
      <c r="J48" s="40"/>
      <c r="K48" s="40"/>
      <c r="L48" s="40"/>
      <c r="M48" s="40"/>
      <c r="N48" s="214"/>
      <c r="O48" s="104"/>
      <c r="P48" s="104"/>
      <c r="Q48" s="104"/>
      <c r="R48" s="202"/>
      <c r="T48" s="223"/>
    </row>
    <row r="49" spans="1:20" s="203" customFormat="1" ht="15" customHeight="1" thickBot="1">
      <c r="A49" s="197"/>
      <c r="B49" s="198"/>
      <c r="C49" s="212"/>
      <c r="D49" s="213" t="s">
        <v>102</v>
      </c>
      <c r="E49" s="193">
        <v>39253.9</v>
      </c>
      <c r="F49" s="193">
        <v>18446.400000000001</v>
      </c>
      <c r="G49" s="240">
        <v>-0.53007471869037215</v>
      </c>
      <c r="H49" s="40"/>
      <c r="I49" s="40"/>
      <c r="J49" s="40"/>
      <c r="K49" s="40"/>
      <c r="L49" s="40"/>
      <c r="M49" s="40"/>
      <c r="N49" s="214"/>
      <c r="O49" s="104"/>
      <c r="P49" s="104"/>
      <c r="Q49" s="104"/>
      <c r="R49" s="202"/>
      <c r="T49" s="223"/>
    </row>
    <row r="50" spans="1:20" s="203" customFormat="1" ht="15" customHeight="1" thickBot="1">
      <c r="A50" s="197"/>
      <c r="B50" s="198"/>
      <c r="C50" s="212"/>
      <c r="D50" s="213" t="s">
        <v>143</v>
      </c>
      <c r="E50" s="193">
        <v>390</v>
      </c>
      <c r="F50" s="193">
        <v>0</v>
      </c>
      <c r="G50" s="240">
        <v>-1</v>
      </c>
      <c r="H50" s="40"/>
      <c r="I50" s="40"/>
      <c r="J50" s="40"/>
      <c r="K50" s="40"/>
      <c r="L50" s="40"/>
      <c r="M50" s="40"/>
      <c r="N50" s="214"/>
      <c r="O50" s="104"/>
      <c r="P50" s="104"/>
      <c r="Q50" s="104"/>
      <c r="R50" s="202"/>
      <c r="T50" s="223"/>
    </row>
    <row r="51" spans="1:20" s="203" customFormat="1" ht="15" customHeight="1" thickBot="1">
      <c r="A51" s="197"/>
      <c r="B51" s="198"/>
      <c r="C51" s="212"/>
      <c r="D51" s="213" t="s">
        <v>144</v>
      </c>
      <c r="E51" s="193">
        <v>6.45</v>
      </c>
      <c r="F51" s="193">
        <v>0</v>
      </c>
      <c r="G51" s="240">
        <v>-1</v>
      </c>
      <c r="H51" s="40"/>
      <c r="I51" s="40"/>
      <c r="J51" s="40"/>
      <c r="K51" s="40"/>
      <c r="L51" s="40"/>
      <c r="M51" s="40"/>
      <c r="N51" s="214"/>
      <c r="O51" s="104"/>
      <c r="P51" s="104"/>
      <c r="Q51" s="104"/>
      <c r="R51" s="202"/>
      <c r="T51" s="223"/>
    </row>
    <row r="52" spans="1:20" s="203" customFormat="1" ht="15" customHeight="1" thickBot="1">
      <c r="A52" s="197"/>
      <c r="B52" s="198"/>
      <c r="C52" s="212"/>
      <c r="D52" s="213" t="s">
        <v>103</v>
      </c>
      <c r="E52" s="193">
        <v>0</v>
      </c>
      <c r="F52" s="193">
        <v>161.80000000000001</v>
      </c>
      <c r="G52" s="240"/>
      <c r="H52" s="40"/>
      <c r="I52" s="40"/>
      <c r="J52" s="40"/>
      <c r="K52" s="40"/>
      <c r="L52" s="40"/>
      <c r="M52" s="40"/>
      <c r="N52" s="214"/>
      <c r="O52" s="104"/>
      <c r="P52" s="104"/>
      <c r="Q52" s="104"/>
      <c r="R52" s="202"/>
      <c r="T52" s="223"/>
    </row>
    <row r="53" spans="1:20" s="203" customFormat="1" ht="15" customHeight="1" thickBot="1">
      <c r="A53" s="197"/>
      <c r="B53" s="198"/>
      <c r="C53" s="212"/>
      <c r="D53" s="213" t="s">
        <v>104</v>
      </c>
      <c r="E53" s="193">
        <v>14461.0000000001</v>
      </c>
      <c r="F53" s="193">
        <v>8973.42</v>
      </c>
      <c r="G53" s="240">
        <v>-0.37947444851670442</v>
      </c>
      <c r="H53" s="40"/>
      <c r="I53" s="40"/>
      <c r="J53" s="40"/>
      <c r="K53" s="40"/>
      <c r="L53" s="40"/>
      <c r="M53" s="40"/>
      <c r="N53" s="214"/>
      <c r="O53" s="104"/>
      <c r="P53" s="104"/>
      <c r="Q53" s="104"/>
      <c r="R53" s="202"/>
      <c r="T53" s="223"/>
    </row>
    <row r="54" spans="1:20" s="203" customFormat="1" ht="15" customHeight="1" thickBot="1">
      <c r="A54" s="197"/>
      <c r="B54" s="198"/>
      <c r="C54" s="199" t="s">
        <v>105</v>
      </c>
      <c r="D54" s="200"/>
      <c r="E54" s="100">
        <v>158295.29999999999</v>
      </c>
      <c r="F54" s="100">
        <v>117142.4899999998</v>
      </c>
      <c r="G54" s="239">
        <v>-0.25997493292599461</v>
      </c>
      <c r="H54" s="39"/>
      <c r="I54" s="39"/>
      <c r="J54" s="39"/>
      <c r="K54" s="39"/>
      <c r="L54" s="39"/>
      <c r="M54" s="39"/>
      <c r="N54" s="201"/>
      <c r="R54" s="202"/>
      <c r="T54" s="223"/>
    </row>
    <row r="55" spans="1:20" s="203" customFormat="1" ht="15" customHeight="1" thickBot="1">
      <c r="A55" s="197"/>
      <c r="B55" s="198"/>
      <c r="C55" s="212"/>
      <c r="D55" s="213" t="s">
        <v>107</v>
      </c>
      <c r="E55" s="193">
        <v>45918.239999999998</v>
      </c>
      <c r="F55" s="193">
        <v>23798.98</v>
      </c>
      <c r="G55" s="240">
        <v>-0.48170966483035937</v>
      </c>
      <c r="H55" s="40"/>
      <c r="I55" s="40"/>
      <c r="J55" s="40"/>
      <c r="K55" s="40"/>
      <c r="L55" s="40"/>
      <c r="M55" s="40"/>
      <c r="N55" s="214"/>
      <c r="O55" s="104"/>
      <c r="P55" s="104"/>
      <c r="Q55" s="104"/>
      <c r="R55" s="202"/>
      <c r="T55" s="223"/>
    </row>
    <row r="56" spans="1:20" s="203" customFormat="1" ht="15" customHeight="1" thickBot="1">
      <c r="A56" s="197"/>
      <c r="B56" s="198"/>
      <c r="C56" s="212"/>
      <c r="D56" s="213" t="s">
        <v>145</v>
      </c>
      <c r="E56" s="193">
        <v>20.07</v>
      </c>
      <c r="F56" s="193">
        <v>0</v>
      </c>
      <c r="G56" s="240">
        <v>-1</v>
      </c>
      <c r="H56" s="40"/>
      <c r="I56" s="40"/>
      <c r="J56" s="40"/>
      <c r="K56" s="40"/>
      <c r="L56" s="40"/>
      <c r="M56" s="40"/>
      <c r="N56" s="214"/>
      <c r="O56" s="104"/>
      <c r="P56" s="104"/>
      <c r="Q56" s="104"/>
      <c r="R56" s="202"/>
      <c r="T56" s="223"/>
    </row>
    <row r="57" spans="1:20" s="203" customFormat="1" ht="15" customHeight="1" thickBot="1">
      <c r="A57" s="197"/>
      <c r="B57" s="198"/>
      <c r="C57" s="212"/>
      <c r="D57" s="213" t="s">
        <v>108</v>
      </c>
      <c r="E57" s="193">
        <v>167</v>
      </c>
      <c r="F57" s="193">
        <v>50</v>
      </c>
      <c r="G57" s="240">
        <v>-0.70059880239520966</v>
      </c>
      <c r="H57" s="40"/>
      <c r="I57" s="40"/>
      <c r="J57" s="40"/>
      <c r="K57" s="40"/>
      <c r="L57" s="40"/>
      <c r="M57" s="40"/>
      <c r="N57" s="214"/>
      <c r="O57" s="104"/>
      <c r="P57" s="104"/>
      <c r="Q57" s="104"/>
      <c r="R57" s="202"/>
      <c r="T57" s="223"/>
    </row>
    <row r="58" spans="1:20" s="203" customFormat="1" ht="15" customHeight="1" thickBot="1">
      <c r="A58" s="197"/>
      <c r="B58" s="198"/>
      <c r="C58" s="212"/>
      <c r="D58" s="213" t="s">
        <v>109</v>
      </c>
      <c r="E58" s="193">
        <v>108871.74</v>
      </c>
      <c r="F58" s="193">
        <v>88407.759999999806</v>
      </c>
      <c r="G58" s="240">
        <v>-0.18796411263382218</v>
      </c>
      <c r="H58" s="40"/>
      <c r="I58" s="40"/>
      <c r="J58" s="40"/>
      <c r="K58" s="40"/>
      <c r="L58" s="40"/>
      <c r="M58" s="40"/>
      <c r="N58" s="214"/>
      <c r="O58" s="104"/>
      <c r="P58" s="104"/>
      <c r="Q58" s="104"/>
      <c r="R58" s="202"/>
      <c r="T58" s="223"/>
    </row>
    <row r="59" spans="1:20" s="203" customFormat="1" ht="15" customHeight="1" thickBot="1">
      <c r="A59" s="197"/>
      <c r="B59" s="198"/>
      <c r="C59" s="212"/>
      <c r="D59" s="213" t="s">
        <v>110</v>
      </c>
      <c r="E59" s="193">
        <v>3318.25</v>
      </c>
      <c r="F59" s="193">
        <v>4885.75</v>
      </c>
      <c r="G59" s="240">
        <v>0.47238755368040386</v>
      </c>
      <c r="H59" s="40"/>
      <c r="I59" s="40"/>
      <c r="J59" s="40"/>
      <c r="K59" s="40"/>
      <c r="L59" s="40"/>
      <c r="M59" s="40"/>
      <c r="N59" s="214"/>
      <c r="O59" s="104"/>
      <c r="P59" s="104"/>
      <c r="Q59" s="104"/>
      <c r="R59" s="202"/>
      <c r="T59" s="223"/>
    </row>
    <row r="60" spans="1:20" s="203" customFormat="1" ht="15" customHeight="1" thickBot="1">
      <c r="A60" s="197"/>
      <c r="B60" s="198"/>
      <c r="C60" s="199" t="s">
        <v>111</v>
      </c>
      <c r="D60" s="200"/>
      <c r="E60" s="100">
        <v>16691.11</v>
      </c>
      <c r="F60" s="100">
        <v>12251.66</v>
      </c>
      <c r="G60" s="239">
        <v>-0.26597691825169212</v>
      </c>
      <c r="H60" s="39"/>
      <c r="I60" s="39"/>
      <c r="J60" s="39"/>
      <c r="K60" s="39"/>
      <c r="L60" s="39"/>
      <c r="M60" s="39"/>
      <c r="N60" s="201"/>
      <c r="R60" s="202"/>
      <c r="T60" s="223"/>
    </row>
    <row r="61" spans="1:20" s="203" customFormat="1" ht="15" customHeight="1" thickBot="1">
      <c r="A61" s="197"/>
      <c r="B61" s="198"/>
      <c r="C61" s="212"/>
      <c r="D61" s="213" t="s">
        <v>112</v>
      </c>
      <c r="E61" s="193">
        <v>16691.11</v>
      </c>
      <c r="F61" s="193">
        <v>12251.66</v>
      </c>
      <c r="G61" s="240">
        <v>-0.26597691825169212</v>
      </c>
      <c r="H61" s="40"/>
      <c r="I61" s="40"/>
      <c r="J61" s="40"/>
      <c r="K61" s="40"/>
      <c r="L61" s="40"/>
      <c r="M61" s="40"/>
      <c r="N61" s="214"/>
      <c r="O61" s="104"/>
      <c r="P61" s="104"/>
      <c r="Q61" s="104"/>
      <c r="R61" s="202"/>
      <c r="T61" s="223"/>
    </row>
    <row r="62" spans="1:20" s="203" customFormat="1" ht="15" customHeight="1" thickBot="1">
      <c r="A62" s="197"/>
      <c r="B62" s="198"/>
      <c r="C62" s="199" t="s">
        <v>113</v>
      </c>
      <c r="D62" s="200"/>
      <c r="E62" s="100">
        <v>183.03</v>
      </c>
      <c r="F62" s="100">
        <v>610.37</v>
      </c>
      <c r="G62" s="239">
        <v>2.3348085013385784</v>
      </c>
      <c r="H62" s="39"/>
      <c r="I62" s="39"/>
      <c r="J62" s="39"/>
      <c r="K62" s="39"/>
      <c r="L62" s="39"/>
      <c r="M62" s="39"/>
      <c r="N62" s="201"/>
      <c r="R62" s="202"/>
      <c r="T62" s="223"/>
    </row>
    <row r="63" spans="1:20" s="203" customFormat="1" ht="15" customHeight="1" thickBot="1">
      <c r="A63" s="197"/>
      <c r="B63" s="198"/>
      <c r="C63" s="212"/>
      <c r="D63" s="213" t="s">
        <v>146</v>
      </c>
      <c r="E63" s="193">
        <v>9.1999999999999993</v>
      </c>
      <c r="F63" s="193">
        <v>0</v>
      </c>
      <c r="G63" s="240">
        <v>-1</v>
      </c>
      <c r="H63" s="40"/>
      <c r="I63" s="40"/>
      <c r="J63" s="40"/>
      <c r="K63" s="40"/>
      <c r="L63" s="40"/>
      <c r="M63" s="40"/>
      <c r="N63" s="214"/>
      <c r="O63" s="104"/>
      <c r="P63" s="104"/>
      <c r="Q63" s="104"/>
      <c r="R63" s="202"/>
      <c r="T63" s="223"/>
    </row>
    <row r="64" spans="1:20" s="203" customFormat="1" ht="15" customHeight="1" thickBot="1">
      <c r="A64" s="197"/>
      <c r="B64" s="198"/>
      <c r="C64" s="212"/>
      <c r="D64" s="213" t="s">
        <v>114</v>
      </c>
      <c r="E64" s="193">
        <v>0</v>
      </c>
      <c r="F64" s="193">
        <v>39.96</v>
      </c>
      <c r="G64" s="240"/>
      <c r="H64" s="40"/>
      <c r="I64" s="40"/>
      <c r="J64" s="40"/>
      <c r="K64" s="40"/>
      <c r="L64" s="40"/>
      <c r="M64" s="40"/>
      <c r="N64" s="214"/>
      <c r="O64" s="104"/>
      <c r="P64" s="104"/>
      <c r="Q64" s="104"/>
      <c r="R64" s="202"/>
      <c r="T64" s="223"/>
    </row>
    <row r="65" spans="1:20" s="203" customFormat="1" ht="15" customHeight="1" thickBot="1">
      <c r="A65" s="197"/>
      <c r="B65" s="198"/>
      <c r="C65" s="212"/>
      <c r="D65" s="213" t="s">
        <v>115</v>
      </c>
      <c r="E65" s="193">
        <v>0</v>
      </c>
      <c r="F65" s="193">
        <v>72</v>
      </c>
      <c r="G65" s="240"/>
      <c r="H65" s="40"/>
      <c r="I65" s="40"/>
      <c r="J65" s="40"/>
      <c r="K65" s="40"/>
      <c r="L65" s="40"/>
      <c r="M65" s="40"/>
      <c r="N65" s="214"/>
      <c r="O65" s="104"/>
      <c r="P65" s="104"/>
      <c r="Q65" s="104"/>
      <c r="R65" s="202"/>
      <c r="T65" s="223"/>
    </row>
    <row r="66" spans="1:20" s="203" customFormat="1" ht="15" customHeight="1" thickBot="1">
      <c r="A66" s="197"/>
      <c r="B66" s="198"/>
      <c r="C66" s="212"/>
      <c r="D66" s="213" t="s">
        <v>116</v>
      </c>
      <c r="E66" s="193">
        <v>1.51</v>
      </c>
      <c r="F66" s="193">
        <v>2.22044604925E-16</v>
      </c>
      <c r="G66" s="240">
        <v>-0.99999999999999989</v>
      </c>
      <c r="H66" s="40"/>
      <c r="I66" s="40"/>
      <c r="J66" s="40"/>
      <c r="K66" s="40"/>
      <c r="L66" s="40"/>
      <c r="M66" s="40"/>
      <c r="N66" s="214"/>
      <c r="O66" s="104"/>
      <c r="P66" s="104"/>
      <c r="Q66" s="104"/>
      <c r="R66" s="202"/>
      <c r="T66" s="223"/>
    </row>
    <row r="67" spans="1:20" s="203" customFormat="1" ht="15" customHeight="1" thickBot="1">
      <c r="A67" s="197"/>
      <c r="B67" s="198"/>
      <c r="C67" s="212"/>
      <c r="D67" s="213" t="s">
        <v>117</v>
      </c>
      <c r="E67" s="193">
        <v>172.32</v>
      </c>
      <c r="F67" s="193">
        <v>498.41</v>
      </c>
      <c r="G67" s="240">
        <v>1.8923514391829159</v>
      </c>
      <c r="H67" s="40"/>
      <c r="I67" s="40"/>
      <c r="J67" s="40"/>
      <c r="K67" s="40"/>
      <c r="L67" s="40"/>
      <c r="M67" s="40"/>
      <c r="N67" s="214"/>
      <c r="O67" s="104"/>
      <c r="P67" s="104"/>
      <c r="Q67" s="104"/>
      <c r="R67" s="202"/>
      <c r="T67" s="223"/>
    </row>
    <row r="68" spans="1:20" s="203" customFormat="1" ht="15" customHeight="1" thickBot="1">
      <c r="A68" s="197"/>
      <c r="B68" s="198"/>
      <c r="C68" s="199" t="s">
        <v>118</v>
      </c>
      <c r="D68" s="200"/>
      <c r="E68" s="100">
        <v>242728.81</v>
      </c>
      <c r="F68" s="100">
        <v>201930.92</v>
      </c>
      <c r="G68" s="239">
        <v>-0.16808013024906265</v>
      </c>
      <c r="H68" s="39"/>
      <c r="I68" s="39"/>
      <c r="J68" s="39"/>
      <c r="K68" s="39"/>
      <c r="L68" s="39"/>
      <c r="M68" s="39"/>
      <c r="N68" s="201"/>
      <c r="R68" s="202"/>
      <c r="T68" s="223"/>
    </row>
    <row r="69" spans="1:20" s="203" customFormat="1" ht="15" customHeight="1" thickBot="1">
      <c r="A69" s="197"/>
      <c r="B69" s="198"/>
      <c r="C69" s="212"/>
      <c r="D69" s="213" t="s">
        <v>119</v>
      </c>
      <c r="E69" s="193">
        <v>1688.5</v>
      </c>
      <c r="F69" s="193">
        <v>2178.4</v>
      </c>
      <c r="G69" s="240">
        <v>0.29013917678412793</v>
      </c>
      <c r="H69" s="40"/>
      <c r="I69" s="40"/>
      <c r="J69" s="40"/>
      <c r="K69" s="40"/>
      <c r="L69" s="40"/>
      <c r="M69" s="40"/>
      <c r="N69" s="214"/>
      <c r="O69" s="104"/>
      <c r="P69" s="104"/>
      <c r="Q69" s="104"/>
      <c r="R69" s="202"/>
      <c r="T69" s="223"/>
    </row>
    <row r="70" spans="1:20" s="203" customFormat="1" ht="15" customHeight="1" thickBot="1">
      <c r="A70" s="197"/>
      <c r="B70" s="198"/>
      <c r="C70" s="212"/>
      <c r="D70" s="213" t="s">
        <v>120</v>
      </c>
      <c r="E70" s="193">
        <v>23751.360000000001</v>
      </c>
      <c r="F70" s="193">
        <v>19737.38</v>
      </c>
      <c r="G70" s="240">
        <v>-0.16900000673645632</v>
      </c>
      <c r="H70" s="40"/>
      <c r="I70" s="40"/>
      <c r="J70" s="40"/>
      <c r="K70" s="40"/>
      <c r="L70" s="40"/>
      <c r="M70" s="40"/>
      <c r="N70" s="214"/>
      <c r="O70" s="104"/>
      <c r="P70" s="104"/>
      <c r="Q70" s="104"/>
      <c r="R70" s="202"/>
      <c r="T70" s="223"/>
    </row>
    <row r="71" spans="1:20" s="203" customFormat="1" ht="15" customHeight="1" thickBot="1">
      <c r="A71" s="197"/>
      <c r="B71" s="198"/>
      <c r="C71" s="212"/>
      <c r="D71" s="213" t="s">
        <v>121</v>
      </c>
      <c r="E71" s="193">
        <v>0</v>
      </c>
      <c r="F71" s="193">
        <v>514.20000000000005</v>
      </c>
      <c r="G71" s="240"/>
      <c r="H71" s="40"/>
      <c r="I71" s="40"/>
      <c r="J71" s="40"/>
      <c r="K71" s="40"/>
      <c r="L71" s="40"/>
      <c r="M71" s="40"/>
      <c r="N71" s="214"/>
      <c r="O71" s="104"/>
      <c r="P71" s="104"/>
      <c r="Q71" s="104"/>
      <c r="R71" s="202"/>
      <c r="T71" s="223"/>
    </row>
    <row r="72" spans="1:20" s="203" customFormat="1" ht="15" customHeight="1" thickBot="1">
      <c r="A72" s="197"/>
      <c r="B72" s="198"/>
      <c r="C72" s="212"/>
      <c r="D72" s="213" t="s">
        <v>122</v>
      </c>
      <c r="E72" s="193">
        <v>22.5</v>
      </c>
      <c r="F72" s="193">
        <v>172.74</v>
      </c>
      <c r="G72" s="240">
        <v>6.6773333333333333</v>
      </c>
      <c r="H72" s="40"/>
      <c r="I72" s="40"/>
      <c r="J72" s="40"/>
      <c r="K72" s="40"/>
      <c r="L72" s="40"/>
      <c r="M72" s="40"/>
      <c r="N72" s="214"/>
      <c r="O72" s="104"/>
      <c r="P72" s="104"/>
      <c r="Q72" s="104"/>
      <c r="R72" s="202"/>
      <c r="T72" s="223"/>
    </row>
    <row r="73" spans="1:20" s="203" customFormat="1" ht="15" customHeight="1" thickBot="1">
      <c r="A73" s="197"/>
      <c r="B73" s="198"/>
      <c r="C73" s="212"/>
      <c r="D73" s="213" t="s">
        <v>123</v>
      </c>
      <c r="E73" s="193">
        <v>189502.65</v>
      </c>
      <c r="F73" s="193">
        <v>152670.51</v>
      </c>
      <c r="G73" s="240">
        <v>-0.19436213688832316</v>
      </c>
      <c r="H73" s="40"/>
      <c r="I73" s="40"/>
      <c r="J73" s="40"/>
      <c r="K73" s="40"/>
      <c r="L73" s="40"/>
      <c r="M73" s="40"/>
      <c r="N73" s="214"/>
      <c r="O73" s="104"/>
      <c r="P73" s="104"/>
      <c r="Q73" s="104"/>
      <c r="R73" s="202"/>
      <c r="T73" s="223"/>
    </row>
    <row r="74" spans="1:20" s="203" customFormat="1" ht="15" customHeight="1" thickBot="1">
      <c r="A74" s="197"/>
      <c r="B74" s="198"/>
      <c r="C74" s="212"/>
      <c r="D74" s="213" t="s">
        <v>124</v>
      </c>
      <c r="E74" s="193">
        <v>27468.799999999999</v>
      </c>
      <c r="F74" s="193">
        <v>19273.259999999998</v>
      </c>
      <c r="G74" s="240">
        <v>-0.29835813723205973</v>
      </c>
      <c r="H74" s="40"/>
      <c r="I74" s="40"/>
      <c r="J74" s="40"/>
      <c r="K74" s="40"/>
      <c r="L74" s="40"/>
      <c r="M74" s="40"/>
      <c r="N74" s="214"/>
      <c r="O74" s="104"/>
      <c r="P74" s="104"/>
      <c r="Q74" s="104"/>
      <c r="R74" s="202"/>
      <c r="T74" s="223"/>
    </row>
    <row r="75" spans="1:20" s="203" customFormat="1" ht="15" customHeight="1" thickBot="1">
      <c r="A75" s="197"/>
      <c r="B75" s="198"/>
      <c r="C75" s="212"/>
      <c r="D75" s="213" t="s">
        <v>125</v>
      </c>
      <c r="E75" s="193">
        <v>295</v>
      </c>
      <c r="F75" s="193">
        <v>7384.43</v>
      </c>
      <c r="G75" s="240">
        <v>24.031966101694916</v>
      </c>
      <c r="H75" s="40"/>
      <c r="I75" s="40"/>
      <c r="J75" s="40"/>
      <c r="K75" s="40"/>
      <c r="L75" s="40"/>
      <c r="M75" s="40"/>
      <c r="N75" s="214"/>
      <c r="O75" s="104"/>
      <c r="P75" s="104"/>
      <c r="Q75" s="104"/>
      <c r="R75" s="202"/>
      <c r="T75" s="223"/>
    </row>
    <row r="76" spans="1:20" s="203" customFormat="1" ht="15" customHeight="1" thickBot="1">
      <c r="A76" s="197"/>
      <c r="B76" s="198"/>
      <c r="C76" s="199" t="s">
        <v>126</v>
      </c>
      <c r="D76" s="200"/>
      <c r="E76" s="100">
        <v>98622.859999999302</v>
      </c>
      <c r="F76" s="100">
        <v>100007.039999998</v>
      </c>
      <c r="G76" s="239">
        <v>1.4035082738410809E-2</v>
      </c>
      <c r="H76" s="39"/>
      <c r="I76" s="39"/>
      <c r="J76" s="39"/>
      <c r="K76" s="39"/>
      <c r="L76" s="39"/>
      <c r="M76" s="39"/>
      <c r="N76" s="201"/>
      <c r="R76" s="202"/>
      <c r="T76" s="223"/>
    </row>
    <row r="77" spans="1:20" s="203" customFormat="1" ht="15" customHeight="1" thickBot="1">
      <c r="A77" s="197"/>
      <c r="B77" s="198"/>
      <c r="C77" s="212"/>
      <c r="D77" s="213" t="s">
        <v>127</v>
      </c>
      <c r="E77" s="193">
        <v>98622.859999999302</v>
      </c>
      <c r="F77" s="193">
        <v>100007.039999998</v>
      </c>
      <c r="G77" s="240">
        <v>1.4035082738410809E-2</v>
      </c>
      <c r="H77" s="40"/>
      <c r="I77" s="40"/>
      <c r="J77" s="40"/>
      <c r="K77" s="40"/>
      <c r="L77" s="40"/>
      <c r="M77" s="40"/>
      <c r="N77" s="214"/>
      <c r="O77" s="104"/>
      <c r="P77" s="104"/>
      <c r="Q77" s="104"/>
      <c r="R77" s="202"/>
      <c r="T77" s="223"/>
    </row>
    <row r="78" spans="1:20" s="203" customFormat="1" ht="15" customHeight="1" thickBot="1">
      <c r="A78" s="197"/>
      <c r="B78" s="198"/>
      <c r="C78" s="199" t="s">
        <v>128</v>
      </c>
      <c r="D78" s="200"/>
      <c r="E78" s="100">
        <v>1756</v>
      </c>
      <c r="F78" s="100">
        <v>1229</v>
      </c>
      <c r="G78" s="239">
        <v>-0.30011389521640086</v>
      </c>
      <c r="H78" s="39"/>
      <c r="I78" s="39"/>
      <c r="J78" s="39"/>
      <c r="K78" s="39"/>
      <c r="L78" s="39"/>
      <c r="M78" s="39"/>
      <c r="N78" s="201"/>
      <c r="R78" s="202"/>
      <c r="T78" s="223"/>
    </row>
    <row r="79" spans="1:20" s="203" customFormat="1" ht="15" customHeight="1" thickBot="1">
      <c r="A79" s="197"/>
      <c r="B79" s="198"/>
      <c r="C79" s="212"/>
      <c r="D79" s="213" t="s">
        <v>129</v>
      </c>
      <c r="E79" s="193">
        <v>1756</v>
      </c>
      <c r="F79" s="193">
        <v>1229</v>
      </c>
      <c r="G79" s="240">
        <v>-0.30011389521640086</v>
      </c>
      <c r="H79" s="40"/>
      <c r="I79" s="40"/>
      <c r="J79" s="40"/>
      <c r="K79" s="40"/>
      <c r="L79" s="40"/>
      <c r="M79" s="40"/>
      <c r="N79" s="214"/>
      <c r="O79" s="104"/>
      <c r="P79" s="104"/>
      <c r="Q79" s="104"/>
      <c r="R79" s="202"/>
      <c r="T79" s="223"/>
    </row>
    <row r="80" spans="1:20" s="203" customFormat="1" ht="15" customHeight="1" thickBot="1">
      <c r="A80" s="197"/>
      <c r="B80" s="198"/>
      <c r="C80" s="199" t="s">
        <v>130</v>
      </c>
      <c r="D80" s="200"/>
      <c r="E80" s="100">
        <v>313780.82999998948</v>
      </c>
      <c r="F80" s="100">
        <v>279214.53999999241</v>
      </c>
      <c r="G80" s="239">
        <v>-0.11016061752401585</v>
      </c>
      <c r="H80" s="39"/>
      <c r="I80" s="39"/>
      <c r="J80" s="39"/>
      <c r="K80" s="39"/>
      <c r="L80" s="39"/>
      <c r="M80" s="39"/>
      <c r="N80" s="201"/>
      <c r="R80" s="202"/>
      <c r="T80" s="223"/>
    </row>
    <row r="81" spans="1:20" s="203" customFormat="1" ht="15" customHeight="1" thickBot="1">
      <c r="A81" s="197"/>
      <c r="B81" s="198"/>
      <c r="C81" s="212"/>
      <c r="D81" s="213" t="s">
        <v>131</v>
      </c>
      <c r="E81" s="193">
        <v>36060.579999999798</v>
      </c>
      <c r="F81" s="193">
        <v>29556.45</v>
      </c>
      <c r="G81" s="240">
        <v>-0.18036676060118373</v>
      </c>
      <c r="H81" s="40"/>
      <c r="I81" s="40"/>
      <c r="J81" s="40"/>
      <c r="K81" s="40"/>
      <c r="L81" s="40"/>
      <c r="M81" s="40"/>
      <c r="N81" s="214"/>
      <c r="O81" s="104"/>
      <c r="P81" s="104"/>
      <c r="Q81" s="104"/>
      <c r="R81" s="202"/>
      <c r="T81" s="223"/>
    </row>
    <row r="82" spans="1:20" s="203" customFormat="1" ht="15" customHeight="1" thickBot="1">
      <c r="A82" s="197"/>
      <c r="B82" s="198"/>
      <c r="C82" s="212"/>
      <c r="D82" s="213" t="s">
        <v>132</v>
      </c>
      <c r="E82" s="193">
        <v>35942.280000000297</v>
      </c>
      <c r="F82" s="193">
        <v>33208.8900000004</v>
      </c>
      <c r="G82" s="240">
        <v>-7.6049432590249544E-2</v>
      </c>
      <c r="H82" s="40"/>
      <c r="I82" s="40"/>
      <c r="J82" s="40"/>
      <c r="K82" s="40"/>
      <c r="L82" s="40"/>
      <c r="M82" s="40"/>
      <c r="N82" s="214"/>
      <c r="O82" s="104"/>
      <c r="P82" s="104"/>
      <c r="Q82" s="104"/>
      <c r="R82" s="202"/>
      <c r="T82" s="223"/>
    </row>
    <row r="83" spans="1:20" s="203" customFormat="1" ht="15" customHeight="1" thickBot="1">
      <c r="A83" s="197"/>
      <c r="B83" s="198"/>
      <c r="C83" s="212"/>
      <c r="D83" s="213" t="s">
        <v>133</v>
      </c>
      <c r="E83" s="193">
        <v>39994.999999999898</v>
      </c>
      <c r="F83" s="193">
        <v>39083.189999999799</v>
      </c>
      <c r="G83" s="240">
        <v>-2.2798099762472823E-2</v>
      </c>
      <c r="H83" s="40"/>
      <c r="I83" s="40"/>
      <c r="J83" s="40"/>
      <c r="K83" s="40"/>
      <c r="L83" s="40"/>
      <c r="M83" s="40"/>
      <c r="N83" s="214"/>
      <c r="O83" s="104"/>
      <c r="P83" s="104"/>
      <c r="Q83" s="104"/>
      <c r="R83" s="202"/>
      <c r="T83" s="223"/>
    </row>
    <row r="84" spans="1:20" s="203" customFormat="1" ht="15" customHeight="1" thickBot="1">
      <c r="A84" s="197"/>
      <c r="B84" s="198"/>
      <c r="C84" s="212"/>
      <c r="D84" s="213" t="s">
        <v>134</v>
      </c>
      <c r="E84" s="193">
        <v>53709.889999994499</v>
      </c>
      <c r="F84" s="193">
        <v>38932.969999999201</v>
      </c>
      <c r="G84" s="240">
        <v>-0.27512474890558913</v>
      </c>
      <c r="H84" s="40"/>
      <c r="I84" s="40"/>
      <c r="J84" s="40"/>
      <c r="K84" s="40"/>
      <c r="L84" s="40"/>
      <c r="M84" s="40"/>
      <c r="N84" s="214"/>
      <c r="O84" s="104"/>
      <c r="P84" s="104"/>
      <c r="Q84" s="104"/>
      <c r="R84" s="202"/>
      <c r="T84" s="223"/>
    </row>
    <row r="85" spans="1:20" s="203" customFormat="1" ht="15" customHeight="1" thickBot="1">
      <c r="A85" s="197"/>
      <c r="B85" s="198"/>
      <c r="C85" s="212"/>
      <c r="D85" s="213" t="s">
        <v>135</v>
      </c>
      <c r="E85" s="193">
        <v>148073.07999999501</v>
      </c>
      <c r="F85" s="193">
        <v>138433.03999999299</v>
      </c>
      <c r="G85" s="240">
        <v>-6.5103258472116177E-2</v>
      </c>
      <c r="H85" s="40"/>
      <c r="I85" s="40"/>
      <c r="J85" s="40"/>
      <c r="K85" s="40"/>
      <c r="L85" s="40"/>
      <c r="M85" s="40"/>
      <c r="N85" s="214"/>
      <c r="O85" s="104"/>
      <c r="P85" s="104"/>
      <c r="Q85" s="104"/>
      <c r="R85" s="202"/>
      <c r="T85" s="223"/>
    </row>
    <row r="86" spans="1:20" s="203" customFormat="1" ht="15" customHeight="1" thickBot="1">
      <c r="A86" s="197"/>
      <c r="B86" s="198"/>
      <c r="C86" s="204" t="s">
        <v>34</v>
      </c>
      <c r="D86" s="205"/>
      <c r="E86" s="235">
        <v>1078140.2799999891</v>
      </c>
      <c r="F86" s="235">
        <v>852235.51999999024</v>
      </c>
      <c r="G86" s="241">
        <v>-0.20953188021135905</v>
      </c>
      <c r="H86" s="39"/>
      <c r="I86" s="39"/>
      <c r="J86" s="39"/>
      <c r="K86" s="39"/>
      <c r="L86" s="39"/>
      <c r="M86" s="39"/>
      <c r="N86" s="201"/>
      <c r="O86" s="117"/>
      <c r="P86" s="117"/>
      <c r="Q86" s="117"/>
      <c r="R86" s="202"/>
    </row>
    <row r="87" spans="1:20" s="203" customFormat="1" ht="15" customHeight="1">
      <c r="A87" s="197"/>
      <c r="B87" s="198"/>
      <c r="C87" s="206"/>
      <c r="D87" s="207"/>
      <c r="E87" s="232"/>
      <c r="F87" s="207"/>
      <c r="G87" s="232"/>
      <c r="H87" s="39"/>
      <c r="I87" s="39"/>
      <c r="J87" s="39"/>
      <c r="K87" s="39"/>
      <c r="L87" s="39"/>
      <c r="M87" s="39"/>
      <c r="N87" s="207"/>
      <c r="O87" s="207"/>
      <c r="P87" s="207"/>
      <c r="Q87" s="207"/>
      <c r="R87" s="202"/>
    </row>
    <row r="88" spans="1:20" s="203" customFormat="1" ht="15" customHeight="1">
      <c r="A88" s="197"/>
      <c r="B88" s="198"/>
      <c r="C88" s="206"/>
      <c r="D88" s="206"/>
      <c r="E88" s="206"/>
      <c r="F88" s="206"/>
      <c r="G88" s="242"/>
      <c r="H88" s="206"/>
      <c r="I88" s="206"/>
      <c r="J88" s="206"/>
      <c r="K88" s="206"/>
      <c r="L88" s="206"/>
      <c r="M88" s="206"/>
      <c r="N88" s="206"/>
      <c r="O88" s="206"/>
      <c r="P88" s="207"/>
      <c r="Q88" s="207"/>
      <c r="R88" s="202"/>
    </row>
    <row r="89" spans="1:20" s="203" customFormat="1" ht="15" customHeight="1">
      <c r="A89" s="197"/>
      <c r="B89" s="198"/>
      <c r="C89" s="206"/>
      <c r="D89" s="206"/>
      <c r="E89" s="206"/>
      <c r="F89" s="206"/>
      <c r="G89" s="242"/>
      <c r="H89" s="206"/>
      <c r="I89" s="206"/>
      <c r="J89" s="206"/>
      <c r="K89" s="206"/>
      <c r="L89" s="206"/>
      <c r="M89" s="206"/>
      <c r="N89" s="206"/>
      <c r="O89" s="206"/>
      <c r="P89" s="207"/>
      <c r="Q89" s="207"/>
      <c r="R89" s="202"/>
    </row>
    <row r="90" spans="1:20" s="203" customFormat="1" ht="15" customHeight="1">
      <c r="A90" s="197"/>
      <c r="B90" s="198"/>
      <c r="C90" s="206"/>
      <c r="D90" s="206"/>
      <c r="E90" s="206"/>
      <c r="F90" s="206"/>
      <c r="G90" s="242"/>
      <c r="H90" s="206"/>
      <c r="I90" s="206"/>
      <c r="J90" s="206"/>
      <c r="K90" s="206"/>
      <c r="L90" s="206"/>
      <c r="M90" s="206"/>
      <c r="N90" s="206"/>
      <c r="O90" s="206"/>
      <c r="P90" s="207"/>
      <c r="Q90" s="207"/>
      <c r="R90" s="202"/>
    </row>
    <row r="91" spans="1:20" s="203" customFormat="1" ht="15" customHeight="1">
      <c r="A91" s="197"/>
      <c r="B91" s="198"/>
      <c r="C91" s="206"/>
      <c r="D91" s="206"/>
      <c r="E91" s="206"/>
      <c r="F91" s="206"/>
      <c r="G91" s="242"/>
      <c r="H91" s="206"/>
      <c r="I91" s="206"/>
      <c r="J91" s="206"/>
      <c r="K91" s="206"/>
      <c r="L91" s="206"/>
      <c r="M91" s="206"/>
      <c r="N91" s="206"/>
      <c r="O91" s="206"/>
      <c r="P91" s="207"/>
      <c r="Q91" s="207"/>
      <c r="R91" s="202"/>
    </row>
    <row r="92" spans="1:20" s="203" customFormat="1" ht="15" customHeight="1">
      <c r="A92" s="197"/>
      <c r="B92" s="198"/>
      <c r="C92" s="206"/>
      <c r="D92" s="206"/>
      <c r="E92" s="206"/>
      <c r="F92" s="206"/>
      <c r="G92" s="242"/>
      <c r="H92" s="206"/>
      <c r="I92" s="206"/>
      <c r="J92" s="206"/>
      <c r="K92" s="206"/>
      <c r="L92" s="206"/>
      <c r="M92" s="206"/>
      <c r="N92" s="206"/>
      <c r="O92" s="206"/>
      <c r="P92" s="207"/>
      <c r="Q92" s="207"/>
      <c r="R92" s="202"/>
    </row>
    <row r="93" spans="1:20" s="203" customFormat="1" ht="15" customHeight="1">
      <c r="A93" s="197"/>
      <c r="B93" s="198"/>
      <c r="C93" s="206"/>
      <c r="D93" s="207"/>
      <c r="E93" s="207"/>
      <c r="F93" s="207"/>
      <c r="G93" s="232"/>
      <c r="H93" s="207"/>
      <c r="I93" s="207"/>
      <c r="J93" s="207"/>
      <c r="K93" s="207"/>
      <c r="L93" s="207"/>
      <c r="M93" s="207"/>
      <c r="N93" s="207"/>
      <c r="O93" s="207"/>
      <c r="P93" s="207"/>
      <c r="Q93" s="207"/>
      <c r="R93" s="202"/>
    </row>
    <row r="94" spans="1:20" s="203" customFormat="1" ht="15" customHeight="1">
      <c r="A94" s="197"/>
      <c r="B94" s="198"/>
      <c r="C94" s="206"/>
      <c r="D94" s="206"/>
      <c r="E94" s="206"/>
      <c r="F94" s="206"/>
      <c r="G94" s="242"/>
      <c r="H94" s="206"/>
      <c r="I94" s="206"/>
      <c r="J94" s="206"/>
      <c r="K94" s="206"/>
      <c r="L94" s="206"/>
      <c r="M94" s="206"/>
      <c r="N94" s="206"/>
      <c r="O94" s="206"/>
      <c r="P94" s="207"/>
      <c r="Q94" s="207"/>
      <c r="R94" s="202"/>
    </row>
    <row r="95" spans="1:20" s="203" customFormat="1" ht="12" customHeight="1">
      <c r="A95" s="197"/>
      <c r="B95" s="208"/>
      <c r="C95" s="209"/>
      <c r="D95" s="209"/>
      <c r="E95" s="209"/>
      <c r="F95" s="209"/>
      <c r="G95" s="243"/>
      <c r="H95" s="209"/>
      <c r="I95" s="209"/>
      <c r="J95" s="209"/>
      <c r="K95" s="209"/>
      <c r="L95" s="209"/>
      <c r="M95" s="209"/>
      <c r="N95" s="209"/>
      <c r="O95" s="209"/>
      <c r="P95" s="210"/>
      <c r="Q95" s="210"/>
      <c r="R95" s="211"/>
    </row>
    <row r="96" spans="1:20" ht="15.75">
      <c r="G96" s="244"/>
      <c r="J96" s="53"/>
      <c r="K96" s="1"/>
      <c r="L96" s="1"/>
      <c r="M96" s="1"/>
      <c r="N96" s="1"/>
      <c r="O96" s="1"/>
      <c r="P96" s="18"/>
      <c r="Q96" s="18"/>
    </row>
    <row r="97" spans="7:17" ht="15.75">
      <c r="G97" s="245"/>
      <c r="H97" s="222"/>
      <c r="I97" s="1"/>
      <c r="J97" s="1"/>
      <c r="K97" s="1"/>
      <c r="L97" s="1"/>
      <c r="M97" s="1"/>
      <c r="N97" s="1"/>
      <c r="O97" s="1"/>
      <c r="P97" s="18"/>
      <c r="Q97" s="18"/>
    </row>
    <row r="98" spans="7:17">
      <c r="H98" s="1"/>
      <c r="I98" s="1"/>
      <c r="J98" s="1"/>
    </row>
  </sheetData>
  <mergeCells count="2">
    <mergeCell ref="C8:Q8"/>
    <mergeCell ref="E12:G1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7">
    <tabColor theme="4" tint="0.79998168889431442"/>
  </sheetPr>
  <dimension ref="A1:AD76"/>
  <sheetViews>
    <sheetView showGridLines="0" topLeftCell="A13" zoomScale="70" zoomScaleNormal="70" workbookViewId="0">
      <selection activeCell="E69" sqref="E69"/>
    </sheetView>
  </sheetViews>
  <sheetFormatPr baseColWidth="10" defaultColWidth="11.42578125" defaultRowHeight="15"/>
  <cols>
    <col min="1" max="1" width="2.85546875" style="68" customWidth="1"/>
    <col min="2" max="2" width="4.28515625" style="58" customWidth="1"/>
    <col min="3" max="3" width="14.28515625" style="58" customWidth="1"/>
    <col min="4" max="9" width="11.42578125" style="58" customWidth="1"/>
    <col min="10" max="11" width="18.5703125" style="58" customWidth="1"/>
    <col min="12" max="12" width="4.28515625" style="58" customWidth="1"/>
    <col min="13" max="16" width="11.42578125" style="58" customWidth="1"/>
    <col min="17" max="17" width="14.28515625" style="58" customWidth="1"/>
    <col min="18" max="18" width="21.42578125" style="58" customWidth="1"/>
    <col min="19" max="19" width="4.28515625" style="58" customWidth="1"/>
    <col min="20" max="20" width="2.85546875" style="58" customWidth="1"/>
    <col min="21" max="24" width="11.42578125" style="58" customWidth="1"/>
    <col min="25" max="16384" width="11.42578125" style="58"/>
  </cols>
  <sheetData>
    <row r="1" spans="1:30"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</row>
    <row r="2" spans="1:30">
      <c r="B2" s="69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1"/>
    </row>
    <row r="3" spans="1:30">
      <c r="B3" s="73"/>
      <c r="S3" s="74"/>
    </row>
    <row r="4" spans="1:30">
      <c r="B4" s="73"/>
      <c r="H4" s="38"/>
      <c r="S4" s="74"/>
    </row>
    <row r="5" spans="1:30">
      <c r="B5" s="73"/>
      <c r="S5" s="74"/>
    </row>
    <row r="6" spans="1:30">
      <c r="B6" s="73"/>
      <c r="S6" s="74"/>
    </row>
    <row r="7" spans="1:30">
      <c r="B7" s="73"/>
      <c r="S7" s="74"/>
    </row>
    <row r="8" spans="1:30" s="117" customFormat="1" ht="60" customHeight="1">
      <c r="A8" s="68"/>
      <c r="B8" s="73"/>
      <c r="C8" s="255" t="str">
        <f>'Page de garde'!C13&amp;" : Détail des Prestations Réglées - Synthèse par famille d'actes"</f>
        <v>CONFORT : Détail des Prestations Réglées - Synthèse par famille d'actes</v>
      </c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6"/>
      <c r="R8" s="257"/>
      <c r="S8" s="74"/>
    </row>
    <row r="9" spans="1:30" ht="11.25" customHeight="1">
      <c r="B9" s="73"/>
      <c r="S9" s="74"/>
    </row>
    <row r="10" spans="1:30" ht="7.5" customHeight="1">
      <c r="B10" s="73"/>
      <c r="S10" s="74"/>
    </row>
    <row r="11" spans="1:30">
      <c r="B11" s="73"/>
      <c r="D11" s="279" t="s">
        <v>147</v>
      </c>
      <c r="E11" s="279"/>
      <c r="F11" s="279"/>
      <c r="G11" s="279"/>
      <c r="H11" s="279"/>
      <c r="I11" s="279"/>
      <c r="J11" s="279"/>
      <c r="K11" s="279"/>
      <c r="L11" s="279"/>
      <c r="M11" s="279"/>
      <c r="N11" s="279"/>
      <c r="O11" s="279"/>
      <c r="P11" s="279"/>
      <c r="Q11" s="279"/>
      <c r="S11" s="74"/>
    </row>
    <row r="12" spans="1:30">
      <c r="B12" s="73"/>
      <c r="S12" s="74"/>
      <c r="AD12" s="106"/>
    </row>
    <row r="13" spans="1:30" s="104" customFormat="1">
      <c r="A13" s="103"/>
      <c r="B13" s="73"/>
      <c r="D13" s="279" t="s">
        <v>148</v>
      </c>
      <c r="E13" s="279"/>
      <c r="F13" s="279"/>
      <c r="G13" s="279"/>
      <c r="H13" s="107"/>
      <c r="O13" s="279" t="s">
        <v>62</v>
      </c>
      <c r="P13" s="279"/>
      <c r="Q13" s="279"/>
      <c r="S13" s="74"/>
    </row>
    <row r="14" spans="1:30">
      <c r="B14" s="73"/>
      <c r="C14" s="68"/>
      <c r="D14" s="68"/>
      <c r="E14" s="108"/>
      <c r="F14" s="108"/>
      <c r="G14" s="108"/>
      <c r="H14" s="10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74"/>
    </row>
    <row r="15" spans="1:30">
      <c r="B15" s="73"/>
      <c r="C15" s="68"/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74"/>
    </row>
    <row r="16" spans="1:30">
      <c r="B16" s="73"/>
      <c r="C16" s="68"/>
      <c r="D16" s="68"/>
      <c r="E16" s="68"/>
      <c r="F16" s="105"/>
      <c r="G16" s="105"/>
      <c r="H16" s="105"/>
      <c r="I16" s="105"/>
      <c r="J16" s="105"/>
      <c r="K16" s="105"/>
      <c r="L16" s="105"/>
      <c r="M16" s="105"/>
      <c r="N16" s="68"/>
      <c r="O16" s="68"/>
      <c r="P16" s="68"/>
      <c r="Q16" s="68"/>
      <c r="R16" s="68"/>
      <c r="S16" s="74"/>
    </row>
    <row r="17" spans="1:19">
      <c r="B17" s="73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74"/>
    </row>
    <row r="18" spans="1:19">
      <c r="B18" s="73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74"/>
    </row>
    <row r="19" spans="1:19">
      <c r="B19" s="73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68"/>
      <c r="R19" s="68"/>
      <c r="S19" s="74"/>
    </row>
    <row r="20" spans="1:19">
      <c r="B20" s="73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74"/>
    </row>
    <row r="21" spans="1:19">
      <c r="B21" s="73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74"/>
    </row>
    <row r="22" spans="1:19">
      <c r="B22" s="73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74"/>
    </row>
    <row r="23" spans="1:19">
      <c r="B23" s="73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74"/>
    </row>
    <row r="24" spans="1:19">
      <c r="B24" s="73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74"/>
    </row>
    <row r="25" spans="1:19">
      <c r="B25" s="73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8"/>
      <c r="S25" s="74"/>
    </row>
    <row r="26" spans="1:19">
      <c r="B26" s="73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74"/>
    </row>
    <row r="27" spans="1:19">
      <c r="B27" s="73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74"/>
    </row>
    <row r="28" spans="1:19">
      <c r="B28" s="73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74"/>
    </row>
    <row r="29" spans="1:19" s="104" customFormat="1">
      <c r="A29" s="103"/>
      <c r="B29" s="73"/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  <c r="S29" s="74"/>
    </row>
    <row r="30" spans="1:19">
      <c r="B30" s="73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74"/>
    </row>
    <row r="31" spans="1:19" s="104" customFormat="1">
      <c r="A31" s="103"/>
      <c r="B31" s="73"/>
      <c r="C31" s="103"/>
      <c r="D31" s="280" t="s">
        <v>149</v>
      </c>
      <c r="E31" s="280"/>
      <c r="F31" s="280"/>
      <c r="G31" s="280"/>
      <c r="H31" s="103"/>
      <c r="I31" s="103"/>
      <c r="L31" s="103"/>
      <c r="M31" s="103"/>
      <c r="O31" s="188" t="s">
        <v>150</v>
      </c>
      <c r="P31" s="109"/>
      <c r="Q31" s="109"/>
      <c r="R31" s="103"/>
      <c r="S31" s="74"/>
    </row>
    <row r="32" spans="1:19" s="186" customFormat="1" ht="24">
      <c r="B32" s="125"/>
      <c r="J32" s="187" t="s">
        <v>151</v>
      </c>
      <c r="K32" s="187" t="s">
        <v>152</v>
      </c>
      <c r="S32" s="126"/>
    </row>
    <row r="33" spans="2:19">
      <c r="B33" s="73"/>
      <c r="H33" s="107"/>
      <c r="K33" s="114"/>
      <c r="S33" s="74"/>
    </row>
    <row r="34" spans="2:19">
      <c r="B34" s="73"/>
      <c r="C34" s="68"/>
      <c r="D34" s="68"/>
      <c r="E34" s="68">
        <v>0</v>
      </c>
      <c r="F34" s="68"/>
      <c r="G34" s="68"/>
      <c r="H34" s="68"/>
      <c r="I34" s="68"/>
      <c r="J34" s="110">
        <v>0.93662953150268913</v>
      </c>
      <c r="K34" s="111">
        <v>0.93662953150268913</v>
      </c>
      <c r="L34" s="68"/>
      <c r="M34" s="68"/>
      <c r="N34" s="68"/>
      <c r="O34" s="68"/>
      <c r="P34" s="68"/>
      <c r="Q34" s="68"/>
      <c r="R34" s="68"/>
      <c r="S34" s="74"/>
    </row>
    <row r="35" spans="2:19">
      <c r="B35" s="73"/>
      <c r="C35" s="68"/>
      <c r="D35" s="68"/>
      <c r="E35" s="68"/>
      <c r="F35" s="68"/>
      <c r="G35" s="68"/>
      <c r="H35" s="68"/>
      <c r="I35" s="68"/>
      <c r="J35" s="110">
        <v>0.94976816074188564</v>
      </c>
      <c r="K35" s="111">
        <v>0.94976816074188564</v>
      </c>
      <c r="L35" s="68"/>
      <c r="M35" s="68"/>
      <c r="N35" s="68"/>
      <c r="O35" s="68"/>
      <c r="P35" s="68"/>
      <c r="Q35" s="68"/>
      <c r="R35" s="68"/>
      <c r="S35" s="74"/>
    </row>
    <row r="36" spans="2:19">
      <c r="B36" s="73"/>
      <c r="C36" s="68"/>
      <c r="D36" s="68"/>
      <c r="E36" s="68"/>
      <c r="F36" s="68"/>
      <c r="G36" s="68"/>
      <c r="H36" s="68"/>
      <c r="I36" s="68"/>
      <c r="J36" s="110">
        <v>0.99842361869115359</v>
      </c>
      <c r="K36" s="111">
        <v>0.9984236186911537</v>
      </c>
      <c r="L36" s="68"/>
      <c r="M36" s="68"/>
      <c r="N36" s="68"/>
      <c r="O36" s="68"/>
      <c r="P36" s="68"/>
      <c r="Q36" s="68"/>
      <c r="R36" s="68"/>
      <c r="S36" s="74"/>
    </row>
    <row r="37" spans="2:19">
      <c r="B37" s="73"/>
      <c r="C37" s="68"/>
      <c r="D37" s="68"/>
      <c r="E37" s="68"/>
      <c r="F37" s="68"/>
      <c r="G37" s="68"/>
      <c r="H37" s="68"/>
      <c r="I37" s="68"/>
      <c r="J37" s="110">
        <v>0.77121872881286513</v>
      </c>
      <c r="K37" s="111">
        <v>0.77121872881286513</v>
      </c>
      <c r="L37" s="68"/>
      <c r="M37" s="68"/>
      <c r="N37" s="68"/>
      <c r="O37" s="68"/>
      <c r="P37" s="68"/>
      <c r="Q37" s="68"/>
      <c r="R37" s="68"/>
      <c r="S37" s="74"/>
    </row>
    <row r="38" spans="2:19">
      <c r="B38" s="73"/>
      <c r="C38" s="68"/>
      <c r="D38" s="68"/>
      <c r="E38" s="68"/>
      <c r="F38" s="68"/>
      <c r="G38" s="68"/>
      <c r="H38" s="68"/>
      <c r="I38" s="68"/>
      <c r="J38" s="110">
        <v>0.87432430037396092</v>
      </c>
      <c r="K38" s="111">
        <v>0.87432430037396092</v>
      </c>
      <c r="L38" s="68"/>
      <c r="M38" s="68"/>
      <c r="N38" s="68"/>
      <c r="O38" s="68"/>
      <c r="P38" s="68"/>
      <c r="Q38" s="68"/>
      <c r="R38" s="68"/>
      <c r="S38" s="74"/>
    </row>
    <row r="39" spans="2:19">
      <c r="B39" s="73"/>
      <c r="C39" s="68"/>
      <c r="D39" s="68"/>
      <c r="E39" s="68"/>
      <c r="F39" s="68"/>
      <c r="G39" s="68"/>
      <c r="H39" s="68"/>
      <c r="I39" s="68"/>
      <c r="J39" s="110">
        <v>0.95066014464661841</v>
      </c>
      <c r="K39" s="111">
        <v>0.9506601446466183</v>
      </c>
      <c r="L39" s="68"/>
      <c r="M39" s="68"/>
      <c r="N39" s="68"/>
      <c r="O39" s="68"/>
      <c r="P39" s="68"/>
      <c r="Q39" s="68"/>
      <c r="R39" s="68"/>
      <c r="S39" s="74"/>
    </row>
    <row r="40" spans="2:19">
      <c r="B40" s="73"/>
      <c r="C40" s="68"/>
      <c r="D40" s="68"/>
      <c r="E40" s="68"/>
      <c r="F40" s="68"/>
      <c r="G40" s="68"/>
      <c r="H40" s="68"/>
      <c r="I40" s="68"/>
      <c r="J40" s="110">
        <v>0.92002167417753844</v>
      </c>
      <c r="K40" s="111">
        <v>0.92002167417753844</v>
      </c>
      <c r="L40" s="68"/>
      <c r="M40" s="68"/>
      <c r="N40" s="68"/>
      <c r="O40" s="68"/>
      <c r="P40" s="68"/>
      <c r="Q40" s="68"/>
      <c r="R40" s="68"/>
      <c r="S40" s="74"/>
    </row>
    <row r="41" spans="2:19">
      <c r="B41" s="73"/>
      <c r="C41" s="68"/>
      <c r="D41" s="68"/>
      <c r="E41" s="68"/>
      <c r="F41" s="68"/>
      <c r="G41" s="68"/>
      <c r="H41" s="68"/>
      <c r="I41" s="68"/>
      <c r="J41" s="110">
        <v>0.73258680709726398</v>
      </c>
      <c r="K41" s="111">
        <v>0.73258680709726398</v>
      </c>
      <c r="L41" s="68"/>
      <c r="M41" s="68"/>
      <c r="N41" s="68"/>
      <c r="O41" s="68"/>
      <c r="P41" s="68"/>
      <c r="Q41" s="68"/>
      <c r="R41" s="68"/>
      <c r="S41" s="74"/>
    </row>
    <row r="42" spans="2:19">
      <c r="B42" s="73"/>
      <c r="C42" s="68"/>
      <c r="D42" s="68"/>
      <c r="E42" s="68"/>
      <c r="F42" s="68"/>
      <c r="G42" s="68"/>
      <c r="H42" s="68"/>
      <c r="I42" s="68"/>
      <c r="J42" s="110">
        <v>0.64242424242424245</v>
      </c>
      <c r="K42" s="111">
        <v>0.64242424242424245</v>
      </c>
      <c r="L42" s="68"/>
      <c r="M42" s="68"/>
      <c r="N42" s="68"/>
      <c r="O42" s="68"/>
      <c r="P42" s="68"/>
      <c r="Q42" s="68"/>
      <c r="R42" s="68"/>
      <c r="S42" s="74"/>
    </row>
    <row r="43" spans="2:19">
      <c r="B43" s="73"/>
      <c r="C43" s="68"/>
      <c r="D43" s="68"/>
      <c r="E43" s="68"/>
      <c r="F43" s="68"/>
      <c r="G43" s="68"/>
      <c r="H43" s="68"/>
      <c r="I43" s="68"/>
      <c r="J43" s="110">
        <v>0.68208287984520255</v>
      </c>
      <c r="K43" s="111">
        <v>0.68208287984520266</v>
      </c>
      <c r="L43" s="68"/>
      <c r="M43" s="68"/>
      <c r="N43" s="68"/>
      <c r="O43" s="68"/>
      <c r="P43" s="68"/>
      <c r="Q43" s="68"/>
      <c r="R43" s="68"/>
      <c r="S43" s="74"/>
    </row>
    <row r="44" spans="2:19">
      <c r="B44" s="73"/>
      <c r="C44" s="68"/>
      <c r="D44" s="68"/>
      <c r="E44" s="68"/>
      <c r="F44" s="68"/>
      <c r="G44" s="68"/>
      <c r="H44" s="68"/>
      <c r="I44" s="68"/>
      <c r="J44" s="110"/>
      <c r="K44" s="111"/>
      <c r="L44" s="68"/>
      <c r="M44" s="68"/>
      <c r="N44" s="68"/>
      <c r="O44" s="68"/>
      <c r="P44" s="68"/>
      <c r="Q44" s="68"/>
      <c r="R44" s="68"/>
      <c r="S44" s="74"/>
    </row>
    <row r="45" spans="2:19">
      <c r="B45" s="73"/>
      <c r="C45" s="68"/>
      <c r="D45" s="68"/>
      <c r="E45" s="68"/>
      <c r="F45" s="68"/>
      <c r="G45" s="68"/>
      <c r="H45" s="68"/>
      <c r="I45" s="68"/>
      <c r="J45" s="110"/>
      <c r="K45" s="111"/>
      <c r="L45" s="68"/>
      <c r="M45" s="68"/>
      <c r="N45" s="68"/>
      <c r="O45" s="68"/>
      <c r="P45" s="68"/>
      <c r="Q45" s="68"/>
      <c r="R45" s="68"/>
      <c r="S45" s="74"/>
    </row>
    <row r="46" spans="2:19">
      <c r="B46" s="73"/>
      <c r="C46" s="68"/>
      <c r="D46" s="68"/>
      <c r="E46" s="68"/>
      <c r="F46" s="68"/>
      <c r="G46" s="68"/>
      <c r="H46" s="68"/>
      <c r="I46" s="68"/>
      <c r="J46" s="110"/>
      <c r="K46" s="111"/>
      <c r="L46" s="68"/>
      <c r="M46" s="68"/>
      <c r="N46" s="68"/>
      <c r="O46" s="68"/>
      <c r="P46" s="68"/>
      <c r="Q46" s="68"/>
      <c r="R46" s="68"/>
      <c r="S46" s="74"/>
    </row>
    <row r="47" spans="2:19">
      <c r="B47" s="73"/>
      <c r="C47" s="68"/>
      <c r="D47" s="68"/>
      <c r="E47" s="68"/>
      <c r="F47" s="68"/>
      <c r="G47" s="68"/>
      <c r="H47" s="68"/>
      <c r="I47" s="68"/>
      <c r="J47" s="110"/>
      <c r="K47" s="111"/>
      <c r="L47" s="68"/>
      <c r="M47" s="68"/>
      <c r="N47" s="68"/>
      <c r="O47" s="68"/>
      <c r="P47" s="68"/>
      <c r="Q47" s="68"/>
      <c r="R47" s="68"/>
      <c r="S47" s="74"/>
    </row>
    <row r="48" spans="2:19">
      <c r="B48" s="73"/>
      <c r="C48" s="68"/>
      <c r="D48" s="68"/>
      <c r="E48" s="68"/>
      <c r="F48" s="68"/>
      <c r="G48" s="68"/>
      <c r="H48" s="68"/>
      <c r="I48" s="68"/>
      <c r="J48" s="110"/>
      <c r="K48" s="111"/>
      <c r="L48" s="68"/>
      <c r="M48" s="68"/>
      <c r="N48" s="68"/>
      <c r="O48" s="68"/>
      <c r="P48" s="68"/>
      <c r="Q48" s="68"/>
      <c r="R48" s="68"/>
      <c r="S48" s="74"/>
    </row>
    <row r="49" spans="2:19">
      <c r="B49" s="73"/>
      <c r="C49" s="68"/>
      <c r="D49" s="68"/>
      <c r="E49" s="68"/>
      <c r="F49" s="68"/>
      <c r="G49" s="68"/>
      <c r="H49" s="68"/>
      <c r="I49" s="68"/>
      <c r="J49" s="115"/>
      <c r="K49" s="113"/>
      <c r="L49" s="68"/>
      <c r="M49" s="68"/>
      <c r="N49" s="68"/>
      <c r="O49" s="68"/>
      <c r="P49" s="68"/>
      <c r="Q49" s="68"/>
      <c r="R49" s="68"/>
      <c r="S49" s="74"/>
    </row>
    <row r="50" spans="2:19">
      <c r="B50" s="73"/>
      <c r="J50" s="114"/>
      <c r="K50" s="114"/>
      <c r="S50" s="74"/>
    </row>
    <row r="51" spans="2:19">
      <c r="B51" s="97"/>
      <c r="C51" s="98"/>
      <c r="D51" s="98"/>
      <c r="E51" s="98"/>
      <c r="F51" s="98"/>
      <c r="G51" s="98"/>
      <c r="H51" s="98"/>
      <c r="I51" s="98"/>
      <c r="J51" s="116"/>
      <c r="K51" s="118"/>
      <c r="L51" s="98"/>
      <c r="M51" s="98"/>
      <c r="N51" s="98"/>
      <c r="O51" s="98"/>
      <c r="P51" s="98"/>
      <c r="Q51" s="98"/>
      <c r="R51" s="98"/>
      <c r="S51" s="99"/>
    </row>
    <row r="66" spans="5:14">
      <c r="F66" s="1" t="s">
        <v>148</v>
      </c>
      <c r="G66" s="1" t="s">
        <v>153</v>
      </c>
      <c r="H66" s="1" t="s">
        <v>68</v>
      </c>
      <c r="I66" s="1" t="s">
        <v>66</v>
      </c>
      <c r="J66" s="1" t="s">
        <v>154</v>
      </c>
      <c r="K66" s="1" t="s">
        <v>68</v>
      </c>
      <c r="L66" s="1" t="s">
        <v>155</v>
      </c>
      <c r="M66" s="1" t="s">
        <v>148</v>
      </c>
      <c r="N66" s="1" t="s">
        <v>153</v>
      </c>
    </row>
    <row r="67" spans="5:14">
      <c r="E67" s="58" t="s">
        <v>72</v>
      </c>
      <c r="F67" s="58">
        <v>-65691.029999999926</v>
      </c>
      <c r="G67" s="58">
        <v>0</v>
      </c>
      <c r="H67" s="58">
        <v>-65691.029999999926</v>
      </c>
      <c r="I67" s="58">
        <v>106754.17000000039</v>
      </c>
      <c r="J67" s="58">
        <v>136368.28</v>
      </c>
      <c r="K67" s="58">
        <v>-65691.029999999926</v>
      </c>
      <c r="L67" s="58">
        <v>82700.339999998614</v>
      </c>
      <c r="M67" s="58">
        <v>-10.134376735575428</v>
      </c>
      <c r="N67" s="58">
        <v>-10.134376735575428</v>
      </c>
    </row>
    <row r="68" spans="5:14">
      <c r="E68" s="58" t="s">
        <v>79</v>
      </c>
      <c r="F68" s="58">
        <v>480</v>
      </c>
      <c r="G68" s="58">
        <v>0</v>
      </c>
      <c r="H68" s="58">
        <v>480</v>
      </c>
      <c r="I68" s="58">
        <v>168</v>
      </c>
      <c r="J68" s="58">
        <v>200</v>
      </c>
      <c r="K68" s="58">
        <v>480</v>
      </c>
      <c r="L68" s="58">
        <v>472</v>
      </c>
      <c r="M68" s="58">
        <v>20</v>
      </c>
      <c r="N68" s="58">
        <v>20</v>
      </c>
    </row>
    <row r="69" spans="5:14">
      <c r="E69" s="58" t="s">
        <v>81</v>
      </c>
      <c r="F69" s="58">
        <v>205060.53</v>
      </c>
      <c r="G69" s="58">
        <v>0</v>
      </c>
      <c r="H69" s="58">
        <v>205060.53</v>
      </c>
      <c r="I69" s="58">
        <v>98010.459999999992</v>
      </c>
      <c r="J69" s="58">
        <v>46218.18</v>
      </c>
      <c r="K69" s="58">
        <v>205060.53</v>
      </c>
      <c r="L69" s="58">
        <v>127499.61000000025</v>
      </c>
      <c r="M69" s="58">
        <v>108.26849524815206</v>
      </c>
      <c r="N69" s="58">
        <v>108.26849524815206</v>
      </c>
    </row>
    <row r="70" spans="5:14">
      <c r="E70" s="58" t="s">
        <v>105</v>
      </c>
      <c r="F70" s="58">
        <v>117142.4899999998</v>
      </c>
      <c r="G70" s="58">
        <v>0</v>
      </c>
      <c r="H70" s="58">
        <v>117142.4899999998</v>
      </c>
      <c r="I70" s="58">
        <v>184693.14</v>
      </c>
      <c r="J70" s="58">
        <v>2481.31</v>
      </c>
      <c r="K70" s="58">
        <v>117142.4899999998</v>
      </c>
      <c r="L70" s="58">
        <v>26454.550000001167</v>
      </c>
      <c r="M70" s="58">
        <v>50.060893162393079</v>
      </c>
      <c r="N70" s="58">
        <v>50.060893162393079</v>
      </c>
    </row>
    <row r="71" spans="5:14">
      <c r="E71" s="58" t="s">
        <v>111</v>
      </c>
      <c r="F71" s="58">
        <v>12251.66</v>
      </c>
      <c r="G71" s="58">
        <v>0</v>
      </c>
      <c r="H71" s="58">
        <v>12251.66</v>
      </c>
      <c r="I71" s="58">
        <v>680.38</v>
      </c>
      <c r="J71" s="58">
        <v>2468.16</v>
      </c>
      <c r="K71" s="58">
        <v>12251.66</v>
      </c>
      <c r="L71" s="58">
        <v>799.28000000000065</v>
      </c>
      <c r="M71" s="58">
        <v>72.068588235294115</v>
      </c>
      <c r="N71" s="58">
        <v>72.068588235294115</v>
      </c>
    </row>
    <row r="72" spans="5:14">
      <c r="E72" s="58" t="s">
        <v>113</v>
      </c>
      <c r="F72" s="58">
        <v>610.37</v>
      </c>
      <c r="G72" s="58">
        <v>0</v>
      </c>
      <c r="H72" s="58">
        <v>610.37</v>
      </c>
      <c r="I72" s="58">
        <v>207.49</v>
      </c>
      <c r="J72" s="58">
        <v>168.78</v>
      </c>
      <c r="K72" s="58">
        <v>610.37</v>
      </c>
      <c r="L72" s="58">
        <v>141.82000000000005</v>
      </c>
      <c r="M72" s="58">
        <v>14.532619047619047</v>
      </c>
      <c r="N72" s="58">
        <v>14.532619047619047</v>
      </c>
    </row>
    <row r="73" spans="5:14">
      <c r="E73" s="58" t="s">
        <v>118</v>
      </c>
      <c r="F73" s="58">
        <v>201930.92</v>
      </c>
      <c r="G73" s="58">
        <v>0</v>
      </c>
      <c r="H73" s="58">
        <v>201930.92</v>
      </c>
      <c r="I73" s="58">
        <v>434.86000000000098</v>
      </c>
      <c r="J73" s="58">
        <v>43325.08</v>
      </c>
      <c r="K73" s="58">
        <v>201930.92</v>
      </c>
      <c r="L73" s="58">
        <v>72883.949999999983</v>
      </c>
      <c r="M73" s="58">
        <v>196.23996112730808</v>
      </c>
      <c r="N73" s="58">
        <v>196.23996112730808</v>
      </c>
    </row>
    <row r="74" spans="5:14">
      <c r="E74" s="58" t="s">
        <v>126</v>
      </c>
      <c r="F74" s="58">
        <v>100007.039999998</v>
      </c>
      <c r="G74" s="58">
        <v>0</v>
      </c>
      <c r="H74" s="58">
        <v>100007.039999998</v>
      </c>
      <c r="I74" s="58">
        <v>130242.45000003801</v>
      </c>
      <c r="J74" s="58">
        <v>105.1</v>
      </c>
      <c r="K74" s="58">
        <v>100007.039999998</v>
      </c>
      <c r="L74" s="58">
        <v>363.69999996498518</v>
      </c>
      <c r="M74" s="58">
        <v>1.3620854784669172</v>
      </c>
      <c r="N74" s="58">
        <v>1.3620854784669172</v>
      </c>
    </row>
    <row r="75" spans="5:14">
      <c r="E75" s="58" t="s">
        <v>128</v>
      </c>
      <c r="F75" s="58">
        <v>1229</v>
      </c>
      <c r="G75" s="58">
        <v>0</v>
      </c>
      <c r="H75" s="58">
        <v>1229</v>
      </c>
      <c r="I75" s="58">
        <v>0</v>
      </c>
      <c r="J75" s="58">
        <v>0</v>
      </c>
      <c r="K75" s="58">
        <v>1229</v>
      </c>
      <c r="L75" s="58">
        <v>65</v>
      </c>
      <c r="M75" s="58">
        <v>34.138888888888886</v>
      </c>
      <c r="N75" s="58">
        <v>34.138888888888886</v>
      </c>
    </row>
    <row r="76" spans="5:14">
      <c r="E76" s="58" t="s">
        <v>130</v>
      </c>
      <c r="F76" s="58">
        <v>279214.53999999241</v>
      </c>
      <c r="G76" s="58">
        <v>0</v>
      </c>
      <c r="H76" s="58">
        <v>279214.53999999241</v>
      </c>
      <c r="I76" s="58">
        <v>442502.42000000284</v>
      </c>
      <c r="J76" s="58">
        <v>4257.05</v>
      </c>
      <c r="K76" s="58">
        <v>279214.53999999241</v>
      </c>
      <c r="L76" s="58">
        <v>49117.939999993483</v>
      </c>
      <c r="M76" s="58">
        <v>8.539193222826853</v>
      </c>
      <c r="N76" s="58">
        <v>8.539193222826853</v>
      </c>
    </row>
  </sheetData>
  <mergeCells count="5">
    <mergeCell ref="D11:Q11"/>
    <mergeCell ref="D13:G13"/>
    <mergeCell ref="O13:Q13"/>
    <mergeCell ref="D31:G31"/>
    <mergeCell ref="C8:R8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4">
    <tabColor theme="4" tint="0.79998168889431442"/>
    <pageSetUpPr fitToPage="1"/>
  </sheetPr>
  <dimension ref="A1:V34"/>
  <sheetViews>
    <sheetView showGridLines="0" topLeftCell="A14" zoomScale="70" zoomScaleNormal="70" workbookViewId="0">
      <selection activeCell="A23" sqref="A23:XFD23"/>
    </sheetView>
  </sheetViews>
  <sheetFormatPr baseColWidth="10" defaultColWidth="11.42578125" defaultRowHeight="15"/>
  <cols>
    <col min="1" max="1" width="2.85546875" style="108" customWidth="1"/>
    <col min="2" max="2" width="4.28515625" style="117" customWidth="1"/>
    <col min="3" max="3" width="10" style="117" customWidth="1"/>
    <col min="4" max="4" width="50.7109375" style="117" bestFit="1" customWidth="1"/>
    <col min="5" max="5" width="10.7109375" style="117" customWidth="1"/>
    <col min="6" max="11" width="14.28515625" style="117" customWidth="1"/>
    <col min="12" max="12" width="15.7109375" style="117" customWidth="1"/>
    <col min="13" max="13" width="10.7109375" style="117" customWidth="1"/>
    <col min="14" max="14" width="1.42578125" style="117" customWidth="1"/>
    <col min="15" max="15" width="14.28515625" style="117" customWidth="1"/>
    <col min="16" max="16" width="15.7109375" style="117" customWidth="1"/>
    <col min="17" max="17" width="10.7109375" style="117" customWidth="1"/>
    <col min="18" max="18" width="4.28515625" style="117" customWidth="1"/>
    <col min="19" max="19" width="2.85546875" style="117" customWidth="1"/>
    <col min="20" max="21" width="11.42578125" style="117" customWidth="1"/>
    <col min="22" max="22" width="16.7109375" style="117" bestFit="1" customWidth="1"/>
    <col min="23" max="26" width="11.42578125" style="117" customWidth="1"/>
    <col min="27" max="16384" width="11.42578125" style="117"/>
  </cols>
  <sheetData>
    <row r="1" spans="1:22"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</row>
    <row r="2" spans="1:22" ht="15" customHeight="1">
      <c r="B2" s="69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1"/>
      <c r="V2" s="41"/>
    </row>
    <row r="3" spans="1:22" ht="15" customHeight="1">
      <c r="B3" s="73"/>
      <c r="R3" s="74"/>
    </row>
    <row r="4" spans="1:22" ht="15" customHeight="1">
      <c r="B4" s="73"/>
      <c r="R4" s="74"/>
    </row>
    <row r="5" spans="1:22" ht="15" customHeight="1">
      <c r="B5" s="73"/>
      <c r="R5" s="74"/>
    </row>
    <row r="6" spans="1:22" ht="15" customHeight="1" thickBot="1">
      <c r="B6" s="73"/>
      <c r="R6" s="74"/>
    </row>
    <row r="7" spans="1:22" ht="15" hidden="1" customHeight="1">
      <c r="B7" s="73"/>
      <c r="R7" s="74"/>
    </row>
    <row r="8" spans="1:22" ht="60" customHeight="1" thickBot="1">
      <c r="B8" s="73"/>
      <c r="C8" s="255" t="str">
        <f>'Page de garde'!C13&amp;" : Détail des Prestations Réglées OPTIQUE - Synthèse par famille d'actes"</f>
        <v>CONFORT : Détail des Prestations Réglées OPTIQUE - Synthèse par famille d'actes</v>
      </c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7"/>
      <c r="R8" s="74"/>
    </row>
    <row r="9" spans="1:22">
      <c r="B9" s="73"/>
      <c r="R9" s="74"/>
    </row>
    <row r="10" spans="1:22">
      <c r="B10" s="73"/>
      <c r="R10" s="74"/>
    </row>
    <row r="11" spans="1:22">
      <c r="B11" s="73"/>
      <c r="R11" s="74"/>
    </row>
    <row r="12" spans="1:22">
      <c r="B12" s="73"/>
      <c r="C12" s="39"/>
      <c r="D12" s="39"/>
      <c r="E12" s="273" t="s">
        <v>61</v>
      </c>
      <c r="F12" s="274"/>
      <c r="G12" s="274"/>
      <c r="H12" s="274"/>
      <c r="I12" s="274"/>
      <c r="J12" s="274"/>
      <c r="K12" s="274"/>
      <c r="L12" s="274"/>
      <c r="M12" s="275"/>
      <c r="N12" s="37"/>
      <c r="O12" s="273" t="s">
        <v>62</v>
      </c>
      <c r="P12" s="274"/>
      <c r="Q12" s="275"/>
      <c r="R12" s="74"/>
    </row>
    <row r="13" spans="1:22">
      <c r="B13" s="73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7"/>
      <c r="O13" s="39"/>
      <c r="P13" s="39"/>
      <c r="Q13" s="39"/>
      <c r="R13" s="74"/>
    </row>
    <row r="14" spans="1:22" ht="45" customHeight="1">
      <c r="B14" s="73"/>
      <c r="C14" s="39"/>
      <c r="D14" s="39"/>
      <c r="E14" s="178" t="s">
        <v>63</v>
      </c>
      <c r="F14" s="178" t="s">
        <v>64</v>
      </c>
      <c r="G14" s="179" t="s">
        <v>65</v>
      </c>
      <c r="H14" s="178" t="s">
        <v>66</v>
      </c>
      <c r="I14" s="178" t="s">
        <v>67</v>
      </c>
      <c r="J14" s="178" t="s">
        <v>68</v>
      </c>
      <c r="K14" s="180" t="s">
        <v>69</v>
      </c>
      <c r="L14" s="180" t="s">
        <v>70</v>
      </c>
      <c r="M14" s="180" t="s">
        <v>71</v>
      </c>
      <c r="N14" s="37"/>
      <c r="O14" s="221" t="s">
        <v>69</v>
      </c>
      <c r="P14" s="221" t="s">
        <v>70</v>
      </c>
      <c r="Q14" s="180" t="s">
        <v>71</v>
      </c>
      <c r="R14" s="74"/>
    </row>
    <row r="15" spans="1:22" s="203" customFormat="1" ht="15" customHeight="1" thickBot="1">
      <c r="A15" s="197"/>
      <c r="B15" s="198"/>
      <c r="C15" s="199" t="s">
        <v>118</v>
      </c>
      <c r="D15" s="200"/>
      <c r="E15" s="100">
        <v>1029</v>
      </c>
      <c r="F15" s="112">
        <v>0.36632253470986115</v>
      </c>
      <c r="G15" s="101">
        <v>318574.81</v>
      </c>
      <c r="H15" s="101">
        <v>434.86000000000098</v>
      </c>
      <c r="I15" s="101">
        <v>43325.08</v>
      </c>
      <c r="J15" s="101">
        <v>201930.92</v>
      </c>
      <c r="K15" s="101">
        <v>196.23996112730808</v>
      </c>
      <c r="L15" s="102">
        <v>1</v>
      </c>
      <c r="M15" s="102">
        <v>0.77121872881286502</v>
      </c>
      <c r="N15" s="201"/>
      <c r="O15" s="101">
        <v>0</v>
      </c>
      <c r="P15" s="102">
        <v>0</v>
      </c>
      <c r="Q15" s="102">
        <v>0</v>
      </c>
      <c r="R15" s="202"/>
    </row>
    <row r="16" spans="1:22" s="203" customFormat="1" ht="15" customHeight="1" thickBot="1">
      <c r="A16" s="197"/>
      <c r="B16" s="198"/>
      <c r="C16" s="212"/>
      <c r="D16" s="213" t="s">
        <v>119</v>
      </c>
      <c r="E16" s="193">
        <v>6</v>
      </c>
      <c r="F16" s="194">
        <v>2.135991456034176E-3</v>
      </c>
      <c r="G16" s="195">
        <v>4600</v>
      </c>
      <c r="H16" s="195">
        <v>0</v>
      </c>
      <c r="I16" s="195">
        <v>1028.4000000000001</v>
      </c>
      <c r="J16" s="195">
        <v>2178.4</v>
      </c>
      <c r="K16" s="195">
        <v>363.06666666666666</v>
      </c>
      <c r="L16" s="196">
        <v>1.078784764611581E-2</v>
      </c>
      <c r="M16" s="196">
        <v>0.69713043478260872</v>
      </c>
      <c r="N16" s="214"/>
      <c r="O16" s="195">
        <v>0</v>
      </c>
      <c r="P16" s="196">
        <v>0</v>
      </c>
      <c r="Q16" s="196">
        <v>0</v>
      </c>
      <c r="R16" s="202"/>
    </row>
    <row r="17" spans="1:18" s="203" customFormat="1" ht="15" customHeight="1" thickBot="1">
      <c r="A17" s="197"/>
      <c r="B17" s="198"/>
      <c r="C17" s="212"/>
      <c r="D17" s="213" t="s">
        <v>120</v>
      </c>
      <c r="E17" s="193">
        <v>365</v>
      </c>
      <c r="F17" s="194">
        <v>0.12993948024207902</v>
      </c>
      <c r="G17" s="195">
        <v>24659.72</v>
      </c>
      <c r="H17" s="195">
        <v>189.52</v>
      </c>
      <c r="I17" s="195">
        <v>1032.33</v>
      </c>
      <c r="J17" s="195">
        <v>19737.38</v>
      </c>
      <c r="K17" s="195">
        <v>54.075013698630137</v>
      </c>
      <c r="L17" s="196">
        <v>9.7743228228742776E-2</v>
      </c>
      <c r="M17" s="196">
        <v>0.84993787439597845</v>
      </c>
      <c r="N17" s="214"/>
      <c r="O17" s="195">
        <v>0</v>
      </c>
      <c r="P17" s="196">
        <v>0</v>
      </c>
      <c r="Q17" s="196">
        <v>0</v>
      </c>
      <c r="R17" s="202"/>
    </row>
    <row r="18" spans="1:18" s="203" customFormat="1" ht="15" customHeight="1" thickBot="1">
      <c r="A18" s="197"/>
      <c r="B18" s="198"/>
      <c r="C18" s="212"/>
      <c r="D18" s="213" t="s">
        <v>121</v>
      </c>
      <c r="E18" s="193">
        <v>3</v>
      </c>
      <c r="F18" s="194">
        <v>1.067995728017088E-3</v>
      </c>
      <c r="G18" s="195">
        <v>740</v>
      </c>
      <c r="H18" s="195">
        <v>0.09</v>
      </c>
      <c r="I18" s="195">
        <v>0</v>
      </c>
      <c r="J18" s="195">
        <v>514.20000000000005</v>
      </c>
      <c r="K18" s="195">
        <v>171.4</v>
      </c>
      <c r="L18" s="196">
        <v>2.5464153780906857E-3</v>
      </c>
      <c r="M18" s="196">
        <v>0.69498648648648642</v>
      </c>
      <c r="N18" s="214"/>
      <c r="O18" s="195">
        <v>0</v>
      </c>
      <c r="P18" s="196">
        <v>0</v>
      </c>
      <c r="Q18" s="196">
        <v>0</v>
      </c>
      <c r="R18" s="202"/>
    </row>
    <row r="19" spans="1:18" s="203" customFormat="1" ht="15" customHeight="1" thickBot="1">
      <c r="A19" s="197"/>
      <c r="B19" s="198"/>
      <c r="C19" s="212"/>
      <c r="D19" s="213" t="s">
        <v>122</v>
      </c>
      <c r="E19" s="193">
        <v>7</v>
      </c>
      <c r="F19" s="194">
        <v>2.491990032039872E-3</v>
      </c>
      <c r="G19" s="195">
        <v>219</v>
      </c>
      <c r="H19" s="195">
        <v>16.260000000000002</v>
      </c>
      <c r="I19" s="195">
        <v>0</v>
      </c>
      <c r="J19" s="195">
        <v>172.74</v>
      </c>
      <c r="K19" s="195">
        <v>24.677142857142858</v>
      </c>
      <c r="L19" s="196">
        <v>8.5544105875415212E-4</v>
      </c>
      <c r="M19" s="196">
        <v>0.86301369863013699</v>
      </c>
      <c r="N19" s="214"/>
      <c r="O19" s="195">
        <v>0</v>
      </c>
      <c r="P19" s="196">
        <v>0</v>
      </c>
      <c r="Q19" s="196">
        <v>0</v>
      </c>
      <c r="R19" s="202"/>
    </row>
    <row r="20" spans="1:18" s="203" customFormat="1" ht="15" customHeight="1" thickBot="1">
      <c r="A20" s="197"/>
      <c r="B20" s="198"/>
      <c r="C20" s="212"/>
      <c r="D20" s="213" t="s">
        <v>123</v>
      </c>
      <c r="E20" s="193">
        <v>478</v>
      </c>
      <c r="F20" s="194">
        <v>0.17016731933072268</v>
      </c>
      <c r="G20" s="195">
        <v>248778.37</v>
      </c>
      <c r="H20" s="195">
        <v>198.780000000001</v>
      </c>
      <c r="I20" s="195">
        <v>38076.49</v>
      </c>
      <c r="J20" s="195">
        <v>152670.51</v>
      </c>
      <c r="K20" s="195">
        <v>319.39437238493724</v>
      </c>
      <c r="L20" s="196">
        <v>0.75605315916948235</v>
      </c>
      <c r="M20" s="196">
        <v>0.76753368872060701</v>
      </c>
      <c r="N20" s="214"/>
      <c r="O20" s="195">
        <v>0</v>
      </c>
      <c r="P20" s="196">
        <v>0</v>
      </c>
      <c r="Q20" s="196">
        <v>0</v>
      </c>
      <c r="R20" s="202"/>
    </row>
    <row r="21" spans="1:18" s="203" customFormat="1" ht="15" customHeight="1" thickBot="1">
      <c r="A21" s="197"/>
      <c r="B21" s="198"/>
      <c r="C21" s="212"/>
      <c r="D21" s="213" t="s">
        <v>124</v>
      </c>
      <c r="E21" s="193">
        <v>109</v>
      </c>
      <c r="F21" s="194">
        <v>3.8803844784620858E-2</v>
      </c>
      <c r="G21" s="195">
        <v>30716.9</v>
      </c>
      <c r="H21" s="195">
        <v>28.44</v>
      </c>
      <c r="I21" s="195">
        <v>3187.86</v>
      </c>
      <c r="J21" s="195">
        <v>19273.259999999998</v>
      </c>
      <c r="K21" s="195">
        <v>176.81889908256881</v>
      </c>
      <c r="L21" s="196">
        <v>9.5444818455737226E-2</v>
      </c>
      <c r="M21" s="196">
        <v>0.73215591417102643</v>
      </c>
      <c r="N21" s="214"/>
      <c r="O21" s="195">
        <v>0</v>
      </c>
      <c r="P21" s="196">
        <v>0</v>
      </c>
      <c r="Q21" s="196">
        <v>0</v>
      </c>
      <c r="R21" s="202"/>
    </row>
    <row r="22" spans="1:18" s="203" customFormat="1" ht="15" customHeight="1" thickBot="1">
      <c r="A22" s="197"/>
      <c r="B22" s="198"/>
      <c r="C22" s="212"/>
      <c r="D22" s="213" t="s">
        <v>125</v>
      </c>
      <c r="E22" s="193">
        <v>61</v>
      </c>
      <c r="F22" s="194">
        <v>2.1715913136347454E-2</v>
      </c>
      <c r="G22" s="195">
        <v>8860.82</v>
      </c>
      <c r="H22" s="195">
        <v>1.77</v>
      </c>
      <c r="I22" s="195">
        <v>0</v>
      </c>
      <c r="J22" s="195">
        <v>7384.43</v>
      </c>
      <c r="K22" s="195">
        <v>121.05622950819672</v>
      </c>
      <c r="L22" s="196">
        <v>3.6569090063077014E-2</v>
      </c>
      <c r="M22" s="196">
        <v>0.83357973641265704</v>
      </c>
      <c r="N22" s="214"/>
      <c r="O22" s="195">
        <v>0</v>
      </c>
      <c r="P22" s="196">
        <v>0</v>
      </c>
      <c r="Q22" s="196">
        <v>0</v>
      </c>
      <c r="R22" s="202"/>
    </row>
    <row r="23" spans="1:18" s="203" customFormat="1" ht="15" customHeight="1" thickBot="1">
      <c r="A23" s="197"/>
      <c r="B23" s="198"/>
      <c r="C23" s="204" t="s">
        <v>34</v>
      </c>
      <c r="D23" s="205"/>
      <c r="E23" s="181">
        <v>1029</v>
      </c>
      <c r="F23" s="182">
        <v>0.36632253470986115</v>
      </c>
      <c r="G23" s="183">
        <v>318574.81</v>
      </c>
      <c r="H23" s="183">
        <v>434.86000000000098</v>
      </c>
      <c r="I23" s="183">
        <v>43325.08</v>
      </c>
      <c r="J23" s="183">
        <v>201930.92</v>
      </c>
      <c r="K23" s="183">
        <v>196.23996112730808</v>
      </c>
      <c r="L23" s="184">
        <v>1</v>
      </c>
      <c r="M23" s="184">
        <v>0.77121872881286513</v>
      </c>
      <c r="N23" s="201"/>
      <c r="O23" s="183"/>
      <c r="P23" s="184">
        <v>0</v>
      </c>
      <c r="Q23" s="184"/>
      <c r="R23" s="202"/>
    </row>
    <row r="24" spans="1:18" s="203" customFormat="1" ht="15" customHeight="1">
      <c r="A24" s="197"/>
      <c r="B24" s="198"/>
      <c r="C24" s="206"/>
      <c r="D24" s="206"/>
      <c r="E24" s="206"/>
      <c r="F24" s="206"/>
      <c r="G24" s="206"/>
      <c r="H24" s="206"/>
      <c r="I24" s="206"/>
      <c r="J24" s="206"/>
      <c r="K24" s="206"/>
      <c r="L24" s="206"/>
      <c r="M24" s="206"/>
      <c r="N24" s="206"/>
      <c r="O24" s="206"/>
      <c r="P24" s="207"/>
      <c r="Q24" s="207"/>
      <c r="R24" s="202"/>
    </row>
    <row r="25" spans="1:18" s="203" customFormat="1" ht="15" customHeight="1">
      <c r="A25" s="197"/>
      <c r="B25" s="198"/>
      <c r="C25" s="205" t="s">
        <v>156</v>
      </c>
      <c r="D25" s="205"/>
      <c r="E25" s="206"/>
      <c r="F25" s="206"/>
      <c r="G25" s="183">
        <v>113.41217871128515</v>
      </c>
      <c r="H25" s="206"/>
      <c r="I25" s="206"/>
      <c r="J25" s="183">
        <v>71.887119971520121</v>
      </c>
      <c r="K25" s="206"/>
      <c r="L25" s="206"/>
      <c r="M25" s="206"/>
      <c r="N25" s="206"/>
      <c r="O25" s="206"/>
      <c r="P25" s="207"/>
      <c r="Q25" s="207"/>
      <c r="R25" s="202"/>
    </row>
    <row r="26" spans="1:18" s="203" customFormat="1" ht="15" customHeight="1">
      <c r="A26" s="197"/>
      <c r="B26" s="198"/>
      <c r="C26" s="206"/>
      <c r="D26" s="206"/>
      <c r="E26" s="206"/>
      <c r="F26" s="206"/>
      <c r="G26" s="206"/>
      <c r="H26" s="206"/>
      <c r="I26" s="206"/>
      <c r="J26" s="206"/>
      <c r="K26" s="206"/>
      <c r="L26" s="206"/>
      <c r="M26" s="206"/>
      <c r="N26" s="206"/>
      <c r="O26" s="206"/>
      <c r="P26" s="207"/>
      <c r="Q26" s="207"/>
      <c r="R26" s="202"/>
    </row>
    <row r="27" spans="1:18" s="203" customFormat="1" ht="15" customHeight="1">
      <c r="A27" s="197"/>
      <c r="B27" s="198"/>
      <c r="C27" s="205" t="s">
        <v>137</v>
      </c>
      <c r="D27" s="205"/>
      <c r="E27" s="206"/>
      <c r="F27" s="206"/>
      <c r="G27" s="206"/>
      <c r="H27" s="185">
        <v>1.7699478116524156E-3</v>
      </c>
      <c r="I27" s="185">
        <v>0.17633981174554073</v>
      </c>
      <c r="J27" s="185">
        <v>0.82189024044280701</v>
      </c>
      <c r="K27" s="206"/>
      <c r="L27" s="206"/>
      <c r="M27" s="206"/>
      <c r="N27" s="206"/>
      <c r="O27" s="206"/>
      <c r="P27" s="207"/>
      <c r="Q27" s="207"/>
      <c r="R27" s="202"/>
    </row>
    <row r="28" spans="1:18" s="203" customFormat="1" ht="15" customHeight="1">
      <c r="A28" s="197"/>
      <c r="B28" s="198"/>
      <c r="C28" s="206"/>
      <c r="D28" s="206"/>
      <c r="E28" s="206"/>
      <c r="F28" s="206"/>
      <c r="G28" s="206"/>
      <c r="H28" s="206"/>
      <c r="I28" s="206"/>
      <c r="J28" s="206"/>
      <c r="K28" s="206"/>
      <c r="L28" s="206"/>
      <c r="M28" s="206"/>
      <c r="N28" s="206"/>
      <c r="O28" s="206"/>
      <c r="P28" s="207"/>
      <c r="Q28" s="207"/>
      <c r="R28" s="202"/>
    </row>
    <row r="29" spans="1:18" s="203" customFormat="1" ht="15" customHeight="1">
      <c r="A29" s="197"/>
      <c r="B29" s="198"/>
      <c r="C29" s="206"/>
      <c r="D29" s="207"/>
      <c r="E29" s="207"/>
      <c r="F29" s="207"/>
      <c r="G29" s="207"/>
      <c r="H29" s="207"/>
      <c r="I29" s="207"/>
      <c r="J29" s="207"/>
      <c r="K29" s="207"/>
      <c r="L29" s="207"/>
      <c r="M29" s="207"/>
      <c r="N29" s="207"/>
      <c r="O29" s="207"/>
      <c r="P29" s="207"/>
      <c r="Q29" s="207"/>
      <c r="R29" s="202"/>
    </row>
    <row r="30" spans="1:18" s="203" customFormat="1" ht="15" customHeight="1">
      <c r="A30" s="197"/>
      <c r="B30" s="198"/>
      <c r="C30" s="206"/>
      <c r="D30" s="206"/>
      <c r="E30" s="206"/>
      <c r="F30" s="206"/>
      <c r="G30" s="206"/>
      <c r="H30" s="206"/>
      <c r="I30" s="206"/>
      <c r="J30" s="206"/>
      <c r="K30" s="206"/>
      <c r="L30" s="206"/>
      <c r="M30" s="206"/>
      <c r="N30" s="206"/>
      <c r="O30" s="206"/>
      <c r="P30" s="207"/>
      <c r="Q30" s="207"/>
      <c r="R30" s="202"/>
    </row>
    <row r="31" spans="1:18" s="203" customFormat="1" ht="12" customHeight="1">
      <c r="A31" s="197"/>
      <c r="B31" s="208"/>
      <c r="C31" s="209"/>
      <c r="D31" s="209"/>
      <c r="E31" s="209"/>
      <c r="F31" s="209"/>
      <c r="G31" s="209"/>
      <c r="H31" s="209"/>
      <c r="I31" s="209"/>
      <c r="J31" s="209"/>
      <c r="K31" s="209"/>
      <c r="L31" s="209"/>
      <c r="M31" s="209"/>
      <c r="N31" s="209"/>
      <c r="O31" s="209"/>
      <c r="P31" s="210"/>
      <c r="Q31" s="210"/>
      <c r="R31" s="211"/>
    </row>
    <row r="32" spans="1:18" s="203" customFormat="1" ht="12" customHeight="1">
      <c r="A32" s="197"/>
      <c r="C32" s="206"/>
      <c r="D32" s="206"/>
      <c r="E32" s="206"/>
      <c r="F32" s="206"/>
      <c r="G32" s="206"/>
      <c r="H32" s="206"/>
      <c r="I32" s="206"/>
      <c r="J32" s="206"/>
      <c r="K32" s="206"/>
      <c r="L32" s="206"/>
      <c r="M32" s="206"/>
      <c r="N32" s="206"/>
      <c r="O32" s="206"/>
      <c r="P32" s="207"/>
      <c r="Q32" s="207"/>
    </row>
    <row r="33" spans="1:17" s="203" customFormat="1" ht="12" customHeight="1">
      <c r="A33" s="197"/>
      <c r="C33" s="206"/>
      <c r="D33" s="206"/>
      <c r="E33" s="206"/>
      <c r="F33" s="206"/>
      <c r="G33" s="206"/>
      <c r="H33" s="206"/>
      <c r="I33" s="206"/>
      <c r="J33" s="206"/>
      <c r="K33" s="206"/>
      <c r="L33" s="206"/>
      <c r="M33" s="206"/>
      <c r="N33" s="206"/>
      <c r="O33" s="206"/>
      <c r="P33" s="207"/>
      <c r="Q33" s="207"/>
    </row>
    <row r="34" spans="1:17" s="203" customFormat="1" ht="12" customHeight="1">
      <c r="A34" s="197"/>
      <c r="C34" s="206"/>
      <c r="D34" s="206"/>
      <c r="E34" s="206"/>
      <c r="F34" s="206"/>
      <c r="G34" s="206"/>
      <c r="H34" s="206"/>
      <c r="I34" s="206"/>
      <c r="J34" s="206"/>
      <c r="K34" s="206"/>
      <c r="L34" s="206"/>
      <c r="M34" s="206"/>
      <c r="N34" s="206"/>
      <c r="O34" s="206"/>
      <c r="P34" s="207"/>
      <c r="Q34" s="207"/>
    </row>
  </sheetData>
  <mergeCells count="3">
    <mergeCell ref="C8:Q8"/>
    <mergeCell ref="E12:M12"/>
    <mergeCell ref="O12:Q12"/>
  </mergeCells>
  <pageMargins left="0.70866141732283472" right="0.70866141732283472" top="0.74803149606299213" bottom="0.74803149606299213" header="0.31496062992125984" footer="0.31496062992125984"/>
  <pageSetup paperSize="9" scale="55"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6">
    <tabColor theme="4" tint="0.79998168889431442"/>
  </sheetPr>
  <dimension ref="A1:V58"/>
  <sheetViews>
    <sheetView showGridLines="0" tabSelected="1" topLeftCell="A29" zoomScale="70" zoomScaleNormal="70" workbookViewId="0">
      <selection activeCell="X40" sqref="X40"/>
    </sheetView>
  </sheetViews>
  <sheetFormatPr baseColWidth="10" defaultColWidth="11.42578125" defaultRowHeight="15"/>
  <cols>
    <col min="1" max="1" width="2.85546875" style="108" customWidth="1"/>
    <col min="2" max="2" width="4.28515625" style="117" customWidth="1"/>
    <col min="3" max="3" width="10" style="117" customWidth="1"/>
    <col min="4" max="4" width="50.7109375" style="117" bestFit="1" customWidth="1"/>
    <col min="5" max="5" width="10.7109375" style="117" customWidth="1"/>
    <col min="6" max="11" width="14.28515625" style="117" customWidth="1"/>
    <col min="12" max="12" width="15.7109375" style="117" customWidth="1"/>
    <col min="13" max="13" width="10.7109375" style="117" customWidth="1"/>
    <col min="14" max="14" width="1.42578125" style="117" customWidth="1"/>
    <col min="15" max="15" width="14.28515625" style="117" customWidth="1"/>
    <col min="16" max="16" width="15.7109375" style="117" customWidth="1"/>
    <col min="17" max="17" width="10.7109375" style="117" customWidth="1"/>
    <col min="18" max="18" width="4.28515625" style="117" customWidth="1"/>
    <col min="19" max="19" width="2.85546875" style="117" customWidth="1"/>
    <col min="20" max="21" width="11.42578125" style="117" customWidth="1"/>
    <col min="22" max="22" width="16.7109375" style="117" bestFit="1" customWidth="1"/>
    <col min="23" max="26" width="11.42578125" style="117" customWidth="1"/>
    <col min="27" max="16384" width="11.42578125" style="117"/>
  </cols>
  <sheetData>
    <row r="1" spans="1:22"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</row>
    <row r="2" spans="1:22" ht="15" customHeight="1">
      <c r="B2" s="69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1"/>
      <c r="V2" s="41"/>
    </row>
    <row r="3" spans="1:22" ht="15" customHeight="1">
      <c r="B3" s="73"/>
      <c r="R3" s="74"/>
    </row>
    <row r="4" spans="1:22" ht="15" customHeight="1">
      <c r="B4" s="73"/>
      <c r="R4" s="74"/>
    </row>
    <row r="5" spans="1:22" ht="15" customHeight="1">
      <c r="B5" s="73"/>
      <c r="R5" s="74"/>
    </row>
    <row r="6" spans="1:22" ht="15" customHeight="1" thickBot="1">
      <c r="B6" s="73"/>
      <c r="R6" s="74"/>
    </row>
    <row r="7" spans="1:22" ht="15" hidden="1" customHeight="1">
      <c r="B7" s="73"/>
      <c r="R7" s="74"/>
    </row>
    <row r="8" spans="1:22" ht="60" customHeight="1" thickBot="1">
      <c r="B8" s="73"/>
      <c r="C8" s="255" t="str">
        <f>'Page de garde'!C13&amp;" : Détail des Prestations Réglées DENTAIRE - Synthèse par famille d'actes"</f>
        <v>CONFORT : Détail des Prestations Réglées DENTAIRE - Synthèse par famille d'actes</v>
      </c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7"/>
      <c r="R8" s="74"/>
    </row>
    <row r="9" spans="1:22">
      <c r="B9" s="73"/>
      <c r="R9" s="74"/>
    </row>
    <row r="10" spans="1:22">
      <c r="B10" s="73"/>
      <c r="R10" s="74"/>
    </row>
    <row r="11" spans="1:22">
      <c r="B11" s="73"/>
      <c r="R11" s="74"/>
    </row>
    <row r="12" spans="1:22">
      <c r="B12" s="73"/>
      <c r="C12" s="39"/>
      <c r="D12" s="39"/>
      <c r="E12" s="273" t="s">
        <v>61</v>
      </c>
      <c r="F12" s="274"/>
      <c r="G12" s="274"/>
      <c r="H12" s="274"/>
      <c r="I12" s="274"/>
      <c r="J12" s="274"/>
      <c r="K12" s="274"/>
      <c r="L12" s="274"/>
      <c r="M12" s="275"/>
      <c r="N12" s="37"/>
      <c r="O12" s="273" t="s">
        <v>62</v>
      </c>
      <c r="P12" s="274"/>
      <c r="Q12" s="275"/>
      <c r="R12" s="74"/>
    </row>
    <row r="13" spans="1:22">
      <c r="B13" s="73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7"/>
      <c r="O13" s="39"/>
      <c r="P13" s="39"/>
      <c r="Q13" s="39"/>
      <c r="R13" s="74"/>
    </row>
    <row r="14" spans="1:22" ht="45" customHeight="1">
      <c r="B14" s="73"/>
      <c r="C14" s="39"/>
      <c r="D14" s="39"/>
      <c r="E14" s="178" t="s">
        <v>63</v>
      </c>
      <c r="F14" s="178" t="s">
        <v>64</v>
      </c>
      <c r="G14" s="179" t="s">
        <v>65</v>
      </c>
      <c r="H14" s="178" t="s">
        <v>66</v>
      </c>
      <c r="I14" s="178" t="s">
        <v>67</v>
      </c>
      <c r="J14" s="178" t="s">
        <v>68</v>
      </c>
      <c r="K14" s="180" t="s">
        <v>69</v>
      </c>
      <c r="L14" s="180" t="s">
        <v>70</v>
      </c>
      <c r="M14" s="180" t="s">
        <v>71</v>
      </c>
      <c r="N14" s="37"/>
      <c r="O14" s="221" t="s">
        <v>69</v>
      </c>
      <c r="P14" s="221" t="s">
        <v>70</v>
      </c>
      <c r="Q14" s="180" t="s">
        <v>71</v>
      </c>
      <c r="R14" s="74"/>
    </row>
    <row r="15" spans="1:22" s="203" customFormat="1" ht="15" customHeight="1" thickBot="1">
      <c r="A15" s="197"/>
      <c r="B15" s="198"/>
      <c r="C15" s="199" t="s">
        <v>81</v>
      </c>
      <c r="D15" s="200"/>
      <c r="E15" s="100">
        <v>1894</v>
      </c>
      <c r="F15" s="112">
        <v>0.67426130295478814</v>
      </c>
      <c r="G15" s="101">
        <v>476788.7800000002</v>
      </c>
      <c r="H15" s="101">
        <v>98010.459999999992</v>
      </c>
      <c r="I15" s="101">
        <v>46218.18</v>
      </c>
      <c r="J15" s="101">
        <v>205060.53</v>
      </c>
      <c r="K15" s="101">
        <v>108.26849524815206</v>
      </c>
      <c r="L15" s="102">
        <v>1</v>
      </c>
      <c r="M15" s="102">
        <v>0.7325868070972642</v>
      </c>
      <c r="N15" s="201"/>
      <c r="O15" s="101">
        <v>0</v>
      </c>
      <c r="P15" s="102">
        <v>0</v>
      </c>
      <c r="Q15" s="102">
        <v>0</v>
      </c>
      <c r="R15" s="202"/>
    </row>
    <row r="16" spans="1:22" s="203" customFormat="1" ht="15" customHeight="1" thickBot="1">
      <c r="A16" s="197"/>
      <c r="B16" s="198"/>
      <c r="C16" s="212"/>
      <c r="D16" s="213" t="s">
        <v>82</v>
      </c>
      <c r="E16" s="193">
        <v>120</v>
      </c>
      <c r="F16" s="194">
        <v>4.271982912068352E-2</v>
      </c>
      <c r="G16" s="195">
        <v>8727.0799999999908</v>
      </c>
      <c r="H16" s="195">
        <v>4775.5899999999901</v>
      </c>
      <c r="I16" s="195">
        <v>50</v>
      </c>
      <c r="J16" s="195">
        <v>2581.4899999999998</v>
      </c>
      <c r="K16" s="195">
        <v>21.512416666666663</v>
      </c>
      <c r="L16" s="196">
        <v>1.2588917038300836E-2</v>
      </c>
      <c r="M16" s="196">
        <v>0.84874665982207109</v>
      </c>
      <c r="N16" s="214"/>
      <c r="O16" s="195">
        <v>0</v>
      </c>
      <c r="P16" s="196">
        <v>0</v>
      </c>
      <c r="Q16" s="196">
        <v>0</v>
      </c>
      <c r="R16" s="202"/>
    </row>
    <row r="17" spans="1:18" s="203" customFormat="1" ht="15" customHeight="1" thickBot="1">
      <c r="A17" s="197"/>
      <c r="B17" s="198"/>
      <c r="C17" s="212"/>
      <c r="D17" s="213" t="s">
        <v>83</v>
      </c>
      <c r="E17" s="193">
        <v>49</v>
      </c>
      <c r="F17" s="194">
        <v>1.7443930224279102E-2</v>
      </c>
      <c r="G17" s="195">
        <v>1900</v>
      </c>
      <c r="H17" s="195">
        <v>231</v>
      </c>
      <c r="I17" s="195">
        <v>0</v>
      </c>
      <c r="J17" s="195">
        <v>1669</v>
      </c>
      <c r="K17" s="195">
        <v>34.061224489795919</v>
      </c>
      <c r="L17" s="196">
        <v>8.1390602082224203E-3</v>
      </c>
      <c r="M17" s="196">
        <v>1</v>
      </c>
      <c r="N17" s="214"/>
      <c r="O17" s="195">
        <v>0</v>
      </c>
      <c r="P17" s="196">
        <v>0</v>
      </c>
      <c r="Q17" s="196">
        <v>0</v>
      </c>
      <c r="R17" s="202"/>
    </row>
    <row r="18" spans="1:18" s="203" customFormat="1" ht="15" customHeight="1" thickBot="1">
      <c r="A18" s="197"/>
      <c r="B18" s="198"/>
      <c r="C18" s="212"/>
      <c r="D18" s="213" t="s">
        <v>84</v>
      </c>
      <c r="E18" s="193">
        <v>99</v>
      </c>
      <c r="F18" s="194">
        <v>3.5243859024563902E-2</v>
      </c>
      <c r="G18" s="195">
        <v>5642</v>
      </c>
      <c r="H18" s="195">
        <v>693</v>
      </c>
      <c r="I18" s="195">
        <v>749</v>
      </c>
      <c r="J18" s="195">
        <v>2020</v>
      </c>
      <c r="K18" s="195">
        <v>20.404040404040405</v>
      </c>
      <c r="L18" s="196">
        <v>9.8507499224741099E-3</v>
      </c>
      <c r="M18" s="196">
        <v>0.61361219425735558</v>
      </c>
      <c r="N18" s="214"/>
      <c r="O18" s="195">
        <v>0</v>
      </c>
      <c r="P18" s="196">
        <v>0</v>
      </c>
      <c r="Q18" s="196">
        <v>0</v>
      </c>
      <c r="R18" s="202"/>
    </row>
    <row r="19" spans="1:18" s="203" customFormat="1" ht="15" customHeight="1" thickBot="1">
      <c r="A19" s="197"/>
      <c r="B19" s="198"/>
      <c r="C19" s="212"/>
      <c r="D19" s="213" t="s">
        <v>85</v>
      </c>
      <c r="E19" s="193">
        <v>26</v>
      </c>
      <c r="F19" s="194">
        <v>9.2559629761480959E-3</v>
      </c>
      <c r="G19" s="195">
        <v>5280</v>
      </c>
      <c r="H19" s="195">
        <v>1008</v>
      </c>
      <c r="I19" s="195">
        <v>0</v>
      </c>
      <c r="J19" s="195">
        <v>4272</v>
      </c>
      <c r="K19" s="195">
        <v>164.30769230769232</v>
      </c>
      <c r="L19" s="196">
        <v>2.0832873103370991E-2</v>
      </c>
      <c r="M19" s="196">
        <v>1</v>
      </c>
      <c r="N19" s="214"/>
      <c r="O19" s="195">
        <v>0</v>
      </c>
      <c r="P19" s="196">
        <v>0</v>
      </c>
      <c r="Q19" s="196">
        <v>0</v>
      </c>
      <c r="R19" s="202"/>
    </row>
    <row r="20" spans="1:18" s="203" customFormat="1" ht="15" customHeight="1" thickBot="1">
      <c r="A20" s="197"/>
      <c r="B20" s="198"/>
      <c r="C20" s="212"/>
      <c r="D20" s="213" t="s">
        <v>86</v>
      </c>
      <c r="E20" s="193">
        <v>10</v>
      </c>
      <c r="F20" s="194">
        <v>3.55998576005696E-3</v>
      </c>
      <c r="G20" s="195">
        <v>4400</v>
      </c>
      <c r="H20" s="195">
        <v>840</v>
      </c>
      <c r="I20" s="195">
        <v>720</v>
      </c>
      <c r="J20" s="195">
        <v>2028</v>
      </c>
      <c r="K20" s="195">
        <v>202.8</v>
      </c>
      <c r="L20" s="196">
        <v>9.8897627934542067E-3</v>
      </c>
      <c r="M20" s="196">
        <v>0.81545454545454543</v>
      </c>
      <c r="N20" s="214"/>
      <c r="O20" s="195">
        <v>0</v>
      </c>
      <c r="P20" s="196">
        <v>0</v>
      </c>
      <c r="Q20" s="196">
        <v>0</v>
      </c>
      <c r="R20" s="202"/>
    </row>
    <row r="21" spans="1:18" s="203" customFormat="1" ht="15" customHeight="1" thickBot="1">
      <c r="A21" s="197"/>
      <c r="B21" s="198"/>
      <c r="C21" s="212"/>
      <c r="D21" s="213" t="s">
        <v>87</v>
      </c>
      <c r="E21" s="193">
        <v>8</v>
      </c>
      <c r="F21" s="194">
        <v>2.847988608045568E-3</v>
      </c>
      <c r="G21" s="195">
        <v>3500</v>
      </c>
      <c r="H21" s="195">
        <v>643.65</v>
      </c>
      <c r="I21" s="195">
        <v>0</v>
      </c>
      <c r="J21" s="195">
        <v>2329.35</v>
      </c>
      <c r="K21" s="195">
        <v>291.16874999999999</v>
      </c>
      <c r="L21" s="196">
        <v>1.1359328877185677E-2</v>
      </c>
      <c r="M21" s="196">
        <v>0.84942857142857142</v>
      </c>
      <c r="N21" s="214"/>
      <c r="O21" s="195">
        <v>0</v>
      </c>
      <c r="P21" s="196">
        <v>0</v>
      </c>
      <c r="Q21" s="196">
        <v>0</v>
      </c>
      <c r="R21" s="202"/>
    </row>
    <row r="22" spans="1:18" s="203" customFormat="1" ht="15" customHeight="1" thickBot="1">
      <c r="A22" s="197"/>
      <c r="B22" s="198"/>
      <c r="C22" s="212"/>
      <c r="D22" s="213" t="s">
        <v>88</v>
      </c>
      <c r="E22" s="193">
        <v>100</v>
      </c>
      <c r="F22" s="194">
        <v>3.55998576005696E-2</v>
      </c>
      <c r="G22" s="195">
        <v>76056</v>
      </c>
      <c r="H22" s="195">
        <v>4063.5</v>
      </c>
      <c r="I22" s="195">
        <v>8890</v>
      </c>
      <c r="J22" s="195">
        <v>30649</v>
      </c>
      <c r="K22" s="195">
        <v>306.49</v>
      </c>
      <c r="L22" s="196">
        <v>0.14946318533361833</v>
      </c>
      <c r="M22" s="196">
        <v>0.57329467760597452</v>
      </c>
      <c r="N22" s="214"/>
      <c r="O22" s="195">
        <v>0</v>
      </c>
      <c r="P22" s="196">
        <v>0</v>
      </c>
      <c r="Q22" s="196">
        <v>0</v>
      </c>
      <c r="R22" s="202"/>
    </row>
    <row r="23" spans="1:18" s="203" customFormat="1" ht="15" customHeight="1" thickBot="1">
      <c r="A23" s="197"/>
      <c r="B23" s="198"/>
      <c r="C23" s="212"/>
      <c r="D23" s="213" t="s">
        <v>89</v>
      </c>
      <c r="E23" s="193">
        <v>37</v>
      </c>
      <c r="F23" s="194">
        <v>1.3171947312210752E-2</v>
      </c>
      <c r="G23" s="195">
        <v>6475</v>
      </c>
      <c r="H23" s="195">
        <v>2349</v>
      </c>
      <c r="I23" s="195">
        <v>0</v>
      </c>
      <c r="J23" s="195">
        <v>4126</v>
      </c>
      <c r="K23" s="195">
        <v>111.51351351351352</v>
      </c>
      <c r="L23" s="196">
        <v>2.0120888207984248E-2</v>
      </c>
      <c r="M23" s="196">
        <v>1</v>
      </c>
      <c r="N23" s="214"/>
      <c r="O23" s="195">
        <v>0</v>
      </c>
      <c r="P23" s="196">
        <v>0</v>
      </c>
      <c r="Q23" s="196">
        <v>0</v>
      </c>
      <c r="R23" s="202"/>
    </row>
    <row r="24" spans="1:18" s="203" customFormat="1" ht="15" customHeight="1" thickBot="1">
      <c r="A24" s="197"/>
      <c r="B24" s="198"/>
      <c r="C24" s="212"/>
      <c r="D24" s="213" t="s">
        <v>90</v>
      </c>
      <c r="E24" s="193">
        <v>49</v>
      </c>
      <c r="F24" s="194">
        <v>1.7443930224279102E-2</v>
      </c>
      <c r="G24" s="195">
        <v>7875</v>
      </c>
      <c r="H24" s="195">
        <v>2835</v>
      </c>
      <c r="I24" s="195">
        <v>0</v>
      </c>
      <c r="J24" s="195">
        <v>5040</v>
      </c>
      <c r="K24" s="195">
        <v>102.85714285714286</v>
      </c>
      <c r="L24" s="196">
        <v>2.4578108717460159E-2</v>
      </c>
      <c r="M24" s="196">
        <v>1</v>
      </c>
      <c r="N24" s="214"/>
      <c r="O24" s="195">
        <v>0</v>
      </c>
      <c r="P24" s="196">
        <v>0</v>
      </c>
      <c r="Q24" s="196">
        <v>0</v>
      </c>
      <c r="R24" s="202"/>
    </row>
    <row r="25" spans="1:18" s="203" customFormat="1" ht="15" customHeight="1" thickBot="1">
      <c r="A25" s="197"/>
      <c r="B25" s="198"/>
      <c r="C25" s="212"/>
      <c r="D25" s="213" t="s">
        <v>91</v>
      </c>
      <c r="E25" s="193">
        <v>13</v>
      </c>
      <c r="F25" s="194">
        <v>4.627981488074048E-3</v>
      </c>
      <c r="G25" s="195">
        <v>4926</v>
      </c>
      <c r="H25" s="195">
        <v>910</v>
      </c>
      <c r="I25" s="195">
        <v>400</v>
      </c>
      <c r="J25" s="195">
        <v>1300</v>
      </c>
      <c r="K25" s="195">
        <v>100</v>
      </c>
      <c r="L25" s="196">
        <v>6.3395915342655167E-3</v>
      </c>
      <c r="M25" s="196">
        <v>0.52984165651644333</v>
      </c>
      <c r="N25" s="214"/>
      <c r="O25" s="195">
        <v>0</v>
      </c>
      <c r="P25" s="196">
        <v>0</v>
      </c>
      <c r="Q25" s="196">
        <v>0</v>
      </c>
      <c r="R25" s="202"/>
    </row>
    <row r="26" spans="1:18" s="203" customFormat="1" ht="15" customHeight="1" thickBot="1">
      <c r="A26" s="197"/>
      <c r="B26" s="198"/>
      <c r="C26" s="212"/>
      <c r="D26" s="213" t="s">
        <v>92</v>
      </c>
      <c r="E26" s="193">
        <v>277</v>
      </c>
      <c r="F26" s="194">
        <v>9.8611605553577786E-2</v>
      </c>
      <c r="G26" s="195">
        <v>106524.8</v>
      </c>
      <c r="H26" s="195">
        <v>27783.68</v>
      </c>
      <c r="I26" s="195">
        <v>12835.5</v>
      </c>
      <c r="J26" s="195">
        <v>48128.41</v>
      </c>
      <c r="K26" s="195">
        <v>173.74877256317691</v>
      </c>
      <c r="L26" s="196">
        <v>0.23470343122589218</v>
      </c>
      <c r="M26" s="196">
        <v>0.8331167014629457</v>
      </c>
      <c r="N26" s="214"/>
      <c r="O26" s="195">
        <v>0</v>
      </c>
      <c r="P26" s="196">
        <v>0</v>
      </c>
      <c r="Q26" s="196">
        <v>0</v>
      </c>
      <c r="R26" s="202"/>
    </row>
    <row r="27" spans="1:18" s="203" customFormat="1" ht="15" customHeight="1" thickBot="1">
      <c r="A27" s="197"/>
      <c r="B27" s="198"/>
      <c r="C27" s="212"/>
      <c r="D27" s="213" t="s">
        <v>93</v>
      </c>
      <c r="E27" s="193">
        <v>4</v>
      </c>
      <c r="F27" s="194">
        <v>1.423994304022784E-3</v>
      </c>
      <c r="G27" s="195">
        <v>3078</v>
      </c>
      <c r="H27" s="195">
        <v>0</v>
      </c>
      <c r="I27" s="195">
        <v>0</v>
      </c>
      <c r="J27" s="195">
        <v>1230</v>
      </c>
      <c r="K27" s="195">
        <v>307.5</v>
      </c>
      <c r="L27" s="196">
        <v>5.9982289131896814E-3</v>
      </c>
      <c r="M27" s="196">
        <v>0.39961013645224169</v>
      </c>
      <c r="N27" s="214"/>
      <c r="O27" s="195">
        <v>0</v>
      </c>
      <c r="P27" s="196">
        <v>0</v>
      </c>
      <c r="Q27" s="196">
        <v>0</v>
      </c>
      <c r="R27" s="202"/>
    </row>
    <row r="28" spans="1:18" s="203" customFormat="1" ht="15" customHeight="1" thickBot="1">
      <c r="A28" s="197"/>
      <c r="B28" s="198"/>
      <c r="C28" s="212"/>
      <c r="D28" s="213" t="s">
        <v>94</v>
      </c>
      <c r="E28" s="193">
        <v>85</v>
      </c>
      <c r="F28" s="194">
        <v>3.0259878960484158E-2</v>
      </c>
      <c r="G28" s="195">
        <v>7942.87</v>
      </c>
      <c r="H28" s="195">
        <v>567.55999999999995</v>
      </c>
      <c r="I28" s="195">
        <v>450</v>
      </c>
      <c r="J28" s="195">
        <v>3054.32</v>
      </c>
      <c r="K28" s="195">
        <v>35.933176470588236</v>
      </c>
      <c r="L28" s="196">
        <v>1.4894724011490657E-2</v>
      </c>
      <c r="M28" s="196">
        <v>0.51264593276737502</v>
      </c>
      <c r="N28" s="214"/>
      <c r="O28" s="195">
        <v>0</v>
      </c>
      <c r="P28" s="196">
        <v>0</v>
      </c>
      <c r="Q28" s="196">
        <v>0</v>
      </c>
      <c r="R28" s="202"/>
    </row>
    <row r="29" spans="1:18" s="203" customFormat="1" ht="15" customHeight="1" thickBot="1">
      <c r="A29" s="197"/>
      <c r="B29" s="198"/>
      <c r="C29" s="212"/>
      <c r="D29" s="213" t="s">
        <v>95</v>
      </c>
      <c r="E29" s="193">
        <v>5</v>
      </c>
      <c r="F29" s="194">
        <v>1.77999288002848E-3</v>
      </c>
      <c r="G29" s="195">
        <v>1755</v>
      </c>
      <c r="H29" s="195">
        <v>245.1</v>
      </c>
      <c r="I29" s="195">
        <v>258</v>
      </c>
      <c r="J29" s="195">
        <v>602.5</v>
      </c>
      <c r="K29" s="195">
        <v>120.5</v>
      </c>
      <c r="L29" s="196">
        <v>2.9381568456884415E-3</v>
      </c>
      <c r="M29" s="196">
        <v>0.62997150997150997</v>
      </c>
      <c r="N29" s="214"/>
      <c r="O29" s="195">
        <v>0</v>
      </c>
      <c r="P29" s="196">
        <v>0</v>
      </c>
      <c r="Q29" s="196">
        <v>0</v>
      </c>
      <c r="R29" s="202"/>
    </row>
    <row r="30" spans="1:18" s="203" customFormat="1" ht="15" customHeight="1" thickBot="1">
      <c r="A30" s="197"/>
      <c r="B30" s="198"/>
      <c r="C30" s="212"/>
      <c r="D30" s="213" t="s">
        <v>96</v>
      </c>
      <c r="E30" s="193">
        <v>8</v>
      </c>
      <c r="F30" s="194">
        <v>2.847988608045568E-3</v>
      </c>
      <c r="G30" s="195">
        <v>3134.25</v>
      </c>
      <c r="H30" s="195">
        <v>566.54</v>
      </c>
      <c r="I30" s="195">
        <v>716.18</v>
      </c>
      <c r="J30" s="195">
        <v>1082.32</v>
      </c>
      <c r="K30" s="195">
        <v>135.29</v>
      </c>
      <c r="L30" s="196">
        <v>5.2780513148971185E-3</v>
      </c>
      <c r="M30" s="196">
        <v>0.75457924543351673</v>
      </c>
      <c r="N30" s="214"/>
      <c r="O30" s="195">
        <v>0</v>
      </c>
      <c r="P30" s="196">
        <v>0</v>
      </c>
      <c r="Q30" s="196">
        <v>0</v>
      </c>
      <c r="R30" s="202"/>
    </row>
    <row r="31" spans="1:18" s="203" customFormat="1" ht="15" customHeight="1" thickBot="1">
      <c r="A31" s="197"/>
      <c r="B31" s="198"/>
      <c r="C31" s="212"/>
      <c r="D31" s="213" t="s">
        <v>97</v>
      </c>
      <c r="E31" s="193">
        <v>13</v>
      </c>
      <c r="F31" s="194">
        <v>4.627981488074048E-3</v>
      </c>
      <c r="G31" s="195">
        <v>12500</v>
      </c>
      <c r="H31" s="195">
        <v>1928.58</v>
      </c>
      <c r="I31" s="195">
        <v>817</v>
      </c>
      <c r="J31" s="195">
        <v>4426.18</v>
      </c>
      <c r="K31" s="195">
        <v>340.47538461538466</v>
      </c>
      <c r="L31" s="196">
        <v>2.1584748659334883E-2</v>
      </c>
      <c r="M31" s="196">
        <v>0.57374080000000005</v>
      </c>
      <c r="N31" s="214"/>
      <c r="O31" s="195">
        <v>0</v>
      </c>
      <c r="P31" s="196">
        <v>0</v>
      </c>
      <c r="Q31" s="196">
        <v>0</v>
      </c>
      <c r="R31" s="202"/>
    </row>
    <row r="32" spans="1:18" s="203" customFormat="1" ht="15" customHeight="1" thickBot="1">
      <c r="A32" s="197"/>
      <c r="B32" s="198"/>
      <c r="C32" s="212"/>
      <c r="D32" s="213" t="s">
        <v>98</v>
      </c>
      <c r="E32" s="193">
        <v>148</v>
      </c>
      <c r="F32" s="194">
        <v>5.2687789248843007E-2</v>
      </c>
      <c r="G32" s="195">
        <v>85461.5</v>
      </c>
      <c r="H32" s="195">
        <v>11202.58</v>
      </c>
      <c r="I32" s="195">
        <v>10897.5</v>
      </c>
      <c r="J32" s="195">
        <v>31957.49</v>
      </c>
      <c r="K32" s="195">
        <v>215.92898648648651</v>
      </c>
      <c r="L32" s="196">
        <v>0.15584417927721148</v>
      </c>
      <c r="M32" s="196">
        <v>0.63253710735243351</v>
      </c>
      <c r="N32" s="214"/>
      <c r="O32" s="195">
        <v>0</v>
      </c>
      <c r="P32" s="196">
        <v>0</v>
      </c>
      <c r="Q32" s="196">
        <v>0</v>
      </c>
      <c r="R32" s="202"/>
    </row>
    <row r="33" spans="1:18" s="203" customFormat="1" ht="15" customHeight="1" thickBot="1">
      <c r="A33" s="197"/>
      <c r="B33" s="198"/>
      <c r="C33" s="212"/>
      <c r="D33" s="213" t="s">
        <v>99</v>
      </c>
      <c r="E33" s="193">
        <v>10</v>
      </c>
      <c r="F33" s="194">
        <v>3.55998576005696E-3</v>
      </c>
      <c r="G33" s="195">
        <v>3480</v>
      </c>
      <c r="H33" s="195">
        <v>951.65</v>
      </c>
      <c r="I33" s="195">
        <v>0</v>
      </c>
      <c r="J33" s="195">
        <v>2528.35</v>
      </c>
      <c r="K33" s="195">
        <v>252.83499999999998</v>
      </c>
      <c r="L33" s="196">
        <v>1.2329774042815553E-2</v>
      </c>
      <c r="M33" s="196">
        <v>1</v>
      </c>
      <c r="N33" s="214"/>
      <c r="O33" s="195">
        <v>0</v>
      </c>
      <c r="P33" s="196">
        <v>0</v>
      </c>
      <c r="Q33" s="196">
        <v>0</v>
      </c>
      <c r="R33" s="202"/>
    </row>
    <row r="34" spans="1:18" s="203" customFormat="1" ht="15" customHeight="1" thickBot="1">
      <c r="A34" s="197"/>
      <c r="B34" s="198"/>
      <c r="C34" s="212"/>
      <c r="D34" s="213" t="s">
        <v>100</v>
      </c>
      <c r="E34" s="193">
        <v>29</v>
      </c>
      <c r="F34" s="194">
        <v>1.0323958704165184E-2</v>
      </c>
      <c r="G34" s="195">
        <v>14515</v>
      </c>
      <c r="H34" s="195">
        <v>2379.65</v>
      </c>
      <c r="I34" s="195">
        <v>0</v>
      </c>
      <c r="J34" s="195">
        <v>12085.35</v>
      </c>
      <c r="K34" s="195">
        <v>416.73620689655172</v>
      </c>
      <c r="L34" s="196">
        <v>5.8935525037412125E-2</v>
      </c>
      <c r="M34" s="196">
        <v>0.99655528763348256</v>
      </c>
      <c r="N34" s="214"/>
      <c r="O34" s="195">
        <v>0</v>
      </c>
      <c r="P34" s="196">
        <v>0</v>
      </c>
      <c r="Q34" s="196">
        <v>0</v>
      </c>
      <c r="R34" s="202"/>
    </row>
    <row r="35" spans="1:18" s="203" customFormat="1" ht="15" customHeight="1" thickBot="1">
      <c r="A35" s="197"/>
      <c r="B35" s="198"/>
      <c r="C35" s="212"/>
      <c r="D35" s="213" t="s">
        <v>101</v>
      </c>
      <c r="E35" s="193">
        <v>48</v>
      </c>
      <c r="F35" s="194">
        <v>1.7087931648273408E-2</v>
      </c>
      <c r="G35" s="195">
        <v>45404.5</v>
      </c>
      <c r="H35" s="195">
        <v>6097.6</v>
      </c>
      <c r="I35" s="195">
        <v>5580</v>
      </c>
      <c r="J35" s="195">
        <v>16369.15</v>
      </c>
      <c r="K35" s="195">
        <v>341.02395833333333</v>
      </c>
      <c r="L35" s="196">
        <v>7.9825942125478749E-2</v>
      </c>
      <c r="M35" s="196">
        <v>0.61770859716547921</v>
      </c>
      <c r="N35" s="214"/>
      <c r="O35" s="195">
        <v>0</v>
      </c>
      <c r="P35" s="196">
        <v>0</v>
      </c>
      <c r="Q35" s="196">
        <v>0</v>
      </c>
      <c r="R35" s="202"/>
    </row>
    <row r="36" spans="1:18" s="203" customFormat="1" ht="15" customHeight="1" thickBot="1">
      <c r="A36" s="197"/>
      <c r="B36" s="198"/>
      <c r="C36" s="212"/>
      <c r="D36" s="213" t="s">
        <v>102</v>
      </c>
      <c r="E36" s="193">
        <v>163</v>
      </c>
      <c r="F36" s="194">
        <v>5.8027767888928446E-2</v>
      </c>
      <c r="G36" s="195">
        <v>39143.14</v>
      </c>
      <c r="H36" s="195">
        <v>8033.21</v>
      </c>
      <c r="I36" s="195">
        <v>3855</v>
      </c>
      <c r="J36" s="195">
        <v>18446.400000000001</v>
      </c>
      <c r="K36" s="195">
        <v>113.16809815950921</v>
      </c>
      <c r="L36" s="196">
        <v>8.9955877905904175E-2</v>
      </c>
      <c r="M36" s="196">
        <v>0.77496618820053786</v>
      </c>
      <c r="N36" s="214"/>
      <c r="O36" s="195">
        <v>0</v>
      </c>
      <c r="P36" s="196">
        <v>0</v>
      </c>
      <c r="Q36" s="196">
        <v>0</v>
      </c>
      <c r="R36" s="202"/>
    </row>
    <row r="37" spans="1:18" s="203" customFormat="1" ht="15" customHeight="1" thickBot="1">
      <c r="A37" s="197"/>
      <c r="B37" s="198"/>
      <c r="C37" s="212"/>
      <c r="D37" s="213" t="s">
        <v>103</v>
      </c>
      <c r="E37" s="193">
        <v>3</v>
      </c>
      <c r="F37" s="194">
        <v>1.067995728017088E-3</v>
      </c>
      <c r="G37" s="195">
        <v>265</v>
      </c>
      <c r="H37" s="195">
        <v>103.2</v>
      </c>
      <c r="I37" s="195">
        <v>0</v>
      </c>
      <c r="J37" s="195">
        <v>161.80000000000001</v>
      </c>
      <c r="K37" s="195">
        <v>53.933333333333337</v>
      </c>
      <c r="L37" s="196">
        <v>7.8903531557243125E-4</v>
      </c>
      <c r="M37" s="196">
        <v>1</v>
      </c>
      <c r="N37" s="214"/>
      <c r="O37" s="195">
        <v>0</v>
      </c>
      <c r="P37" s="196">
        <v>0</v>
      </c>
      <c r="Q37" s="196">
        <v>0</v>
      </c>
      <c r="R37" s="202"/>
    </row>
    <row r="38" spans="1:18" s="203" customFormat="1" ht="15" customHeight="1" thickBot="1">
      <c r="A38" s="197"/>
      <c r="B38" s="198"/>
      <c r="C38" s="212"/>
      <c r="D38" s="213" t="s">
        <v>104</v>
      </c>
      <c r="E38" s="193">
        <v>590</v>
      </c>
      <c r="F38" s="194">
        <v>0.21003915984336063</v>
      </c>
      <c r="G38" s="195">
        <v>28803.6400000002</v>
      </c>
      <c r="H38" s="195">
        <v>19802.37</v>
      </c>
      <c r="I38" s="195">
        <v>0</v>
      </c>
      <c r="J38" s="195">
        <v>8973.42</v>
      </c>
      <c r="K38" s="195">
        <v>15.209186440677966</v>
      </c>
      <c r="L38" s="196">
        <v>4.3759859588776054E-2</v>
      </c>
      <c r="M38" s="196">
        <v>0.99903310831547687</v>
      </c>
      <c r="N38" s="214"/>
      <c r="O38" s="195">
        <v>0</v>
      </c>
      <c r="P38" s="196">
        <v>0</v>
      </c>
      <c r="Q38" s="196">
        <v>0</v>
      </c>
      <c r="R38" s="202"/>
    </row>
    <row r="39" spans="1:18" s="203" customFormat="1" ht="15" customHeight="1" thickBot="1">
      <c r="A39" s="197"/>
      <c r="B39" s="198"/>
      <c r="C39" s="204" t="s">
        <v>34</v>
      </c>
      <c r="D39" s="205"/>
      <c r="E39" s="181">
        <v>1894</v>
      </c>
      <c r="F39" s="182">
        <v>0.67426130295478814</v>
      </c>
      <c r="G39" s="183">
        <v>476788.7800000002</v>
      </c>
      <c r="H39" s="183">
        <v>98010.459999999992</v>
      </c>
      <c r="I39" s="183">
        <v>46218.18</v>
      </c>
      <c r="J39" s="183">
        <v>205060.53</v>
      </c>
      <c r="K39" s="183">
        <v>108.26849524815206</v>
      </c>
      <c r="L39" s="184">
        <v>1</v>
      </c>
      <c r="M39" s="184">
        <v>0.73258680709726398</v>
      </c>
      <c r="N39" s="201"/>
      <c r="O39" s="183"/>
      <c r="P39" s="184">
        <v>0</v>
      </c>
      <c r="Q39" s="184"/>
      <c r="R39" s="202"/>
    </row>
    <row r="40" spans="1:18" s="203" customFormat="1" ht="15" customHeight="1">
      <c r="A40" s="197"/>
      <c r="B40" s="198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6"/>
      <c r="P40" s="207"/>
      <c r="Q40" s="207"/>
      <c r="R40" s="202"/>
    </row>
    <row r="41" spans="1:18" s="203" customFormat="1" ht="15" customHeight="1">
      <c r="A41" s="197"/>
      <c r="B41" s="198"/>
      <c r="C41" s="205" t="s">
        <v>136</v>
      </c>
      <c r="D41" s="205"/>
      <c r="E41" s="206"/>
      <c r="F41" s="206"/>
      <c r="G41" s="183">
        <v>169.73612673549306</v>
      </c>
      <c r="H41" s="206"/>
      <c r="I41" s="206"/>
      <c r="J41" s="183">
        <v>73.001256674973305</v>
      </c>
      <c r="K41" s="206"/>
      <c r="L41" s="206"/>
      <c r="M41" s="206"/>
      <c r="N41" s="206"/>
      <c r="O41" s="206"/>
      <c r="P41" s="207"/>
      <c r="Q41" s="207"/>
      <c r="R41" s="202"/>
    </row>
    <row r="42" spans="1:18" s="203" customFormat="1" ht="15" customHeight="1">
      <c r="A42" s="197"/>
      <c r="B42" s="198"/>
      <c r="C42" s="206"/>
      <c r="D42" s="206"/>
      <c r="E42" s="206"/>
      <c r="F42" s="206"/>
      <c r="G42" s="206"/>
      <c r="H42" s="206"/>
      <c r="I42" s="206"/>
      <c r="J42" s="206"/>
      <c r="K42" s="206"/>
      <c r="L42" s="206"/>
      <c r="M42" s="206"/>
      <c r="N42" s="206"/>
      <c r="O42" s="206"/>
      <c r="P42" s="207"/>
      <c r="Q42" s="207"/>
      <c r="R42" s="202"/>
    </row>
    <row r="43" spans="1:18" s="203" customFormat="1" ht="15" customHeight="1">
      <c r="A43" s="197"/>
      <c r="B43" s="198"/>
      <c r="C43" s="205" t="s">
        <v>137</v>
      </c>
      <c r="D43" s="205"/>
      <c r="E43" s="206"/>
      <c r="F43" s="206"/>
      <c r="G43" s="206"/>
      <c r="H43" s="185">
        <v>0.28059976780843221</v>
      </c>
      <c r="I43" s="185">
        <v>0.13232067859418603</v>
      </c>
      <c r="J43" s="185">
        <v>0.58707955359738184</v>
      </c>
      <c r="K43" s="206"/>
      <c r="L43" s="206"/>
      <c r="M43" s="206"/>
      <c r="N43" s="206"/>
      <c r="O43" s="206"/>
      <c r="P43" s="207"/>
      <c r="Q43" s="207"/>
      <c r="R43" s="202"/>
    </row>
    <row r="44" spans="1:18" s="203" customFormat="1" ht="15" customHeight="1">
      <c r="A44" s="197"/>
      <c r="B44" s="198"/>
      <c r="C44" s="206"/>
      <c r="D44" s="206"/>
      <c r="E44" s="206"/>
      <c r="F44" s="206"/>
      <c r="G44" s="206"/>
      <c r="H44" s="206"/>
      <c r="I44" s="206"/>
      <c r="J44" s="206"/>
      <c r="K44" s="206"/>
      <c r="L44" s="206"/>
      <c r="M44" s="206"/>
      <c r="N44" s="206"/>
      <c r="O44" s="206"/>
      <c r="P44" s="207"/>
      <c r="Q44" s="207"/>
      <c r="R44" s="202"/>
    </row>
    <row r="45" spans="1:18" s="203" customFormat="1" ht="15" customHeight="1">
      <c r="A45" s="197"/>
      <c r="B45" s="198"/>
      <c r="C45" s="206"/>
      <c r="D45" s="207"/>
      <c r="E45" s="207"/>
      <c r="F45" s="207"/>
      <c r="G45" s="207"/>
      <c r="H45" s="207"/>
      <c r="I45" s="207"/>
      <c r="J45" s="207"/>
      <c r="K45" s="207"/>
      <c r="L45" s="207"/>
      <c r="M45" s="207"/>
      <c r="N45" s="207"/>
      <c r="O45" s="207"/>
      <c r="P45" s="207"/>
      <c r="Q45" s="207"/>
      <c r="R45" s="202"/>
    </row>
    <row r="46" spans="1:18" s="203" customFormat="1" ht="15" customHeight="1">
      <c r="A46" s="197"/>
      <c r="B46" s="198"/>
      <c r="C46" s="206"/>
      <c r="D46" s="206"/>
      <c r="E46" s="206"/>
      <c r="F46" s="206"/>
      <c r="G46" s="206"/>
      <c r="H46" s="206"/>
      <c r="I46" s="206"/>
      <c r="J46" s="206"/>
      <c r="K46" s="206"/>
      <c r="L46" s="206"/>
      <c r="M46" s="206"/>
      <c r="N46" s="206"/>
      <c r="O46" s="206"/>
      <c r="P46" s="207"/>
      <c r="Q46" s="207"/>
      <c r="R46" s="202"/>
    </row>
    <row r="47" spans="1:18" s="203" customFormat="1" ht="12" customHeight="1">
      <c r="A47" s="197"/>
      <c r="B47" s="208"/>
      <c r="C47" s="209"/>
      <c r="D47" s="209"/>
      <c r="E47" s="209"/>
      <c r="F47" s="209"/>
      <c r="G47" s="209"/>
      <c r="H47" s="209"/>
      <c r="I47" s="209"/>
      <c r="J47" s="209"/>
      <c r="K47" s="209"/>
      <c r="L47" s="209"/>
      <c r="M47" s="209"/>
      <c r="N47" s="209"/>
      <c r="O47" s="209"/>
      <c r="P47" s="210"/>
      <c r="Q47" s="210"/>
      <c r="R47" s="211"/>
    </row>
    <row r="48" spans="1:18" ht="15.75">
      <c r="G48" s="53"/>
      <c r="J48" s="53"/>
      <c r="K48" s="1"/>
      <c r="L48" s="1"/>
      <c r="M48" s="1"/>
      <c r="N48" s="1"/>
      <c r="O48" s="1"/>
      <c r="P48" s="18"/>
      <c r="Q48" s="18"/>
    </row>
    <row r="49" spans="1:17" ht="15.75">
      <c r="G49" s="1"/>
      <c r="H49" s="1"/>
      <c r="I49" s="1"/>
      <c r="J49" s="1"/>
      <c r="K49" s="1"/>
      <c r="L49" s="1"/>
      <c r="M49" s="1"/>
      <c r="N49" s="1"/>
      <c r="O49" s="1"/>
      <c r="P49" s="18"/>
      <c r="Q49" s="18"/>
    </row>
    <row r="50" spans="1:17" ht="15.75">
      <c r="G50" s="1"/>
      <c r="H50" s="1"/>
      <c r="I50" s="1"/>
      <c r="J50" s="1"/>
      <c r="K50" s="1"/>
      <c r="L50" s="1"/>
      <c r="M50" s="1"/>
      <c r="N50" s="1"/>
      <c r="O50" s="1"/>
      <c r="P50" s="18"/>
      <c r="Q50" s="18"/>
    </row>
    <row r="51" spans="1:17" ht="15.75">
      <c r="G51" s="1"/>
      <c r="H51" s="1"/>
      <c r="I51" s="1"/>
      <c r="J51" s="1"/>
      <c r="K51" s="1"/>
      <c r="L51" s="1"/>
      <c r="M51" s="1"/>
      <c r="N51" s="1"/>
      <c r="O51" s="1"/>
      <c r="P51" s="18"/>
      <c r="Q51" s="18"/>
    </row>
    <row r="52" spans="1:17" s="203" customFormat="1" ht="15.75">
      <c r="A52" s="197"/>
      <c r="G52" s="206"/>
      <c r="H52" s="206"/>
      <c r="I52" s="206"/>
      <c r="J52" s="206"/>
      <c r="K52" s="206"/>
      <c r="L52" s="206"/>
      <c r="M52" s="206"/>
      <c r="N52" s="206"/>
      <c r="O52" s="206"/>
      <c r="P52" s="207"/>
      <c r="Q52" s="207"/>
    </row>
    <row r="53" spans="1:17" s="203" customFormat="1" ht="15.75">
      <c r="A53" s="197"/>
      <c r="G53" s="206"/>
      <c r="H53" s="206"/>
      <c r="I53" s="206"/>
      <c r="J53" s="206"/>
      <c r="K53" s="206"/>
      <c r="L53" s="206"/>
      <c r="M53" s="206"/>
      <c r="N53" s="206"/>
      <c r="O53" s="206"/>
      <c r="P53" s="207"/>
      <c r="Q53" s="207"/>
    </row>
    <row r="54" spans="1:17" s="203" customFormat="1" ht="15.75">
      <c r="A54" s="197"/>
      <c r="G54" s="206"/>
      <c r="H54" s="206"/>
      <c r="I54" s="206"/>
      <c r="J54" s="206"/>
      <c r="K54" s="206"/>
      <c r="L54" s="206"/>
      <c r="M54" s="206"/>
      <c r="N54" s="206"/>
      <c r="O54" s="206"/>
      <c r="P54" s="207"/>
      <c r="Q54" s="207"/>
    </row>
    <row r="55" spans="1:17" s="203" customFormat="1" ht="15.75">
      <c r="A55" s="197"/>
      <c r="G55" s="206"/>
      <c r="H55" s="206"/>
      <c r="I55" s="206"/>
      <c r="J55" s="206"/>
      <c r="K55" s="206"/>
      <c r="L55" s="206"/>
      <c r="M55" s="206"/>
      <c r="N55" s="206"/>
      <c r="O55" s="206"/>
      <c r="P55" s="207"/>
      <c r="Q55" s="207"/>
    </row>
    <row r="56" spans="1:17" s="203" customFormat="1" ht="15.75">
      <c r="A56" s="197"/>
      <c r="G56" s="206"/>
      <c r="H56" s="206"/>
      <c r="I56" s="206"/>
      <c r="J56" s="206"/>
      <c r="K56" s="206"/>
      <c r="L56" s="206"/>
      <c r="M56" s="206"/>
      <c r="N56" s="206"/>
      <c r="O56" s="206"/>
      <c r="P56" s="207"/>
      <c r="Q56" s="207"/>
    </row>
    <row r="57" spans="1:17" s="203" customFormat="1" ht="15.75">
      <c r="A57" s="197"/>
      <c r="G57" s="206"/>
      <c r="H57" s="206"/>
      <c r="I57" s="206"/>
      <c r="J57" s="206"/>
      <c r="K57" s="206"/>
      <c r="L57" s="206"/>
      <c r="M57" s="206"/>
      <c r="N57" s="206"/>
      <c r="O57" s="206"/>
      <c r="P57" s="207"/>
      <c r="Q57" s="207"/>
    </row>
    <row r="58" spans="1:17" s="203" customFormat="1" ht="15.75">
      <c r="A58" s="197"/>
      <c r="G58" s="206"/>
      <c r="H58" s="206"/>
      <c r="I58" s="206"/>
      <c r="J58" s="206"/>
      <c r="K58" s="206"/>
      <c r="L58" s="206"/>
      <c r="M58" s="206"/>
      <c r="N58" s="206"/>
      <c r="O58" s="206"/>
      <c r="P58" s="207"/>
      <c r="Q58" s="207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3">
    <tabColor theme="0"/>
  </sheetPr>
  <dimension ref="A1:E1"/>
  <sheetViews>
    <sheetView workbookViewId="0">
      <selection sqref="A1:XFD2"/>
    </sheetView>
  </sheetViews>
  <sheetFormatPr baseColWidth="10" defaultColWidth="11.42578125" defaultRowHeight="15"/>
  <cols>
    <col min="1" max="1" width="21.85546875" style="219" bestFit="1" customWidth="1"/>
    <col min="2" max="2" width="97.85546875" bestFit="1" customWidth="1"/>
    <col min="3" max="3" width="14" bestFit="1" customWidth="1"/>
    <col min="4" max="4" width="38.140625" bestFit="1" customWidth="1"/>
  </cols>
  <sheetData>
    <row r="1" spans="1:5">
      <c r="A1" s="219" t="s">
        <v>157</v>
      </c>
      <c r="B1" t="s">
        <v>158</v>
      </c>
      <c r="C1" t="s">
        <v>159</v>
      </c>
      <c r="D1" t="s">
        <v>160</v>
      </c>
      <c r="E1" t="s">
        <v>161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4">
    <tabColor theme="9" tint="0.79998168889431442"/>
  </sheetPr>
  <dimension ref="A1:J176"/>
  <sheetViews>
    <sheetView zoomScale="85" zoomScaleNormal="85" workbookViewId="0">
      <selection activeCell="G2" sqref="G2"/>
    </sheetView>
  </sheetViews>
  <sheetFormatPr baseColWidth="10" defaultColWidth="11.42578125" defaultRowHeight="15"/>
  <cols>
    <col min="1" max="1" width="7.140625" style="56" bestFit="1" customWidth="1"/>
    <col min="2" max="2" width="21" style="56" bestFit="1" customWidth="1"/>
    <col min="3" max="3" width="4.7109375" style="56" bestFit="1" customWidth="1"/>
    <col min="4" max="4" width="9.5703125" style="56" bestFit="1" customWidth="1"/>
    <col min="5" max="5" width="8.7109375" style="56" bestFit="1" customWidth="1"/>
    <col min="6" max="6" width="25.85546875" style="56" bestFit="1" customWidth="1"/>
    <col min="7" max="7" width="14.5703125" style="56" bestFit="1" customWidth="1"/>
    <col min="8" max="8" width="20.140625" style="56" bestFit="1" customWidth="1"/>
    <col min="9" max="9" width="38" bestFit="1" customWidth="1"/>
    <col min="10" max="10" width="16.42578125" bestFit="1" customWidth="1"/>
  </cols>
  <sheetData>
    <row r="1" spans="1:10">
      <c r="A1" s="56" t="s">
        <v>162</v>
      </c>
      <c r="B1" s="56" t="s">
        <v>163</v>
      </c>
      <c r="C1" s="56" t="s">
        <v>164</v>
      </c>
      <c r="D1" s="56" t="s">
        <v>165</v>
      </c>
      <c r="E1" s="56" t="s">
        <v>166</v>
      </c>
      <c r="F1" s="56" t="s">
        <v>167</v>
      </c>
      <c r="G1" s="56" t="s">
        <v>168</v>
      </c>
      <c r="H1" s="56" t="s">
        <v>169</v>
      </c>
      <c r="I1" s="56" t="s">
        <v>170</v>
      </c>
      <c r="J1" t="s">
        <v>171</v>
      </c>
    </row>
    <row r="2" spans="1:10">
      <c r="A2" s="56">
        <v>2020</v>
      </c>
      <c r="B2" s="56" t="s">
        <v>5</v>
      </c>
      <c r="C2" s="56">
        <v>1</v>
      </c>
      <c r="D2" s="56" t="s">
        <v>42</v>
      </c>
      <c r="E2" s="56" t="s">
        <v>58</v>
      </c>
      <c r="F2" s="56" t="s">
        <v>44</v>
      </c>
      <c r="G2" s="56">
        <v>1</v>
      </c>
      <c r="H2" s="56">
        <v>1</v>
      </c>
      <c r="I2" t="s">
        <v>9</v>
      </c>
      <c r="J2" t="s">
        <v>232</v>
      </c>
    </row>
    <row r="3" spans="1:10">
      <c r="A3" s="56">
        <v>2020</v>
      </c>
      <c r="B3" s="56" t="s">
        <v>5</v>
      </c>
      <c r="C3" s="56">
        <v>1</v>
      </c>
      <c r="D3" s="56" t="s">
        <v>43</v>
      </c>
      <c r="E3" s="56" t="s">
        <v>58</v>
      </c>
      <c r="F3" s="56" t="s">
        <v>44</v>
      </c>
      <c r="G3" s="56">
        <v>4</v>
      </c>
      <c r="H3" s="56">
        <v>4</v>
      </c>
      <c r="I3" t="s">
        <v>9</v>
      </c>
      <c r="J3" t="s">
        <v>232</v>
      </c>
    </row>
    <row r="4" spans="1:10">
      <c r="A4" s="56">
        <v>2020</v>
      </c>
      <c r="B4" s="56" t="s">
        <v>5</v>
      </c>
      <c r="C4" s="56">
        <v>2</v>
      </c>
      <c r="D4" s="56" t="s">
        <v>42</v>
      </c>
      <c r="E4" s="56" t="s">
        <v>58</v>
      </c>
      <c r="F4" s="56" t="s">
        <v>44</v>
      </c>
      <c r="G4" s="56">
        <v>5</v>
      </c>
      <c r="H4" s="56">
        <v>10</v>
      </c>
      <c r="I4" t="s">
        <v>9</v>
      </c>
      <c r="J4" t="s">
        <v>232</v>
      </c>
    </row>
    <row r="5" spans="1:10">
      <c r="A5" s="56">
        <v>2020</v>
      </c>
      <c r="B5" s="56" t="s">
        <v>5</v>
      </c>
      <c r="C5" s="56">
        <v>2</v>
      </c>
      <c r="D5" s="56" t="s">
        <v>43</v>
      </c>
      <c r="E5" s="56" t="s">
        <v>58</v>
      </c>
      <c r="F5" s="56" t="s">
        <v>44</v>
      </c>
      <c r="G5" s="56">
        <v>3</v>
      </c>
      <c r="H5" s="56">
        <v>6</v>
      </c>
      <c r="I5" t="s">
        <v>9</v>
      </c>
      <c r="J5" t="s">
        <v>232</v>
      </c>
    </row>
    <row r="6" spans="1:10">
      <c r="A6" s="56">
        <v>2020</v>
      </c>
      <c r="B6" s="56" t="s">
        <v>5</v>
      </c>
      <c r="C6" s="56">
        <v>3</v>
      </c>
      <c r="D6" s="56" t="s">
        <v>42</v>
      </c>
      <c r="E6" s="56" t="s">
        <v>58</v>
      </c>
      <c r="F6" s="56" t="s">
        <v>44</v>
      </c>
      <c r="G6" s="56">
        <v>2</v>
      </c>
      <c r="H6" s="56">
        <v>6</v>
      </c>
      <c r="I6" t="s">
        <v>9</v>
      </c>
      <c r="J6" t="s">
        <v>232</v>
      </c>
    </row>
    <row r="7" spans="1:10">
      <c r="A7" s="56">
        <v>2020</v>
      </c>
      <c r="B7" s="56" t="s">
        <v>5</v>
      </c>
      <c r="C7" s="56">
        <v>3</v>
      </c>
      <c r="D7" s="56" t="s">
        <v>43</v>
      </c>
      <c r="E7" s="56" t="s">
        <v>58</v>
      </c>
      <c r="F7" s="56" t="s">
        <v>44</v>
      </c>
      <c r="G7" s="56">
        <v>1</v>
      </c>
      <c r="H7" s="56">
        <v>3</v>
      </c>
      <c r="I7" t="s">
        <v>9</v>
      </c>
      <c r="J7" t="s">
        <v>232</v>
      </c>
    </row>
    <row r="8" spans="1:10">
      <c r="A8" s="56">
        <v>2020</v>
      </c>
      <c r="B8" s="56" t="s">
        <v>5</v>
      </c>
      <c r="C8" s="56">
        <v>4</v>
      </c>
      <c r="D8" s="56" t="s">
        <v>42</v>
      </c>
      <c r="E8" s="56" t="s">
        <v>58</v>
      </c>
      <c r="F8" s="56" t="s">
        <v>44</v>
      </c>
      <c r="G8" s="56">
        <v>2</v>
      </c>
      <c r="H8" s="56">
        <v>8</v>
      </c>
      <c r="I8" t="s">
        <v>9</v>
      </c>
      <c r="J8" t="s">
        <v>232</v>
      </c>
    </row>
    <row r="9" spans="1:10">
      <c r="A9" s="56">
        <v>2020</v>
      </c>
      <c r="B9" s="56" t="s">
        <v>5</v>
      </c>
      <c r="C9" s="56">
        <v>4</v>
      </c>
      <c r="D9" s="56" t="s">
        <v>43</v>
      </c>
      <c r="E9" s="56" t="s">
        <v>58</v>
      </c>
      <c r="F9" s="56" t="s">
        <v>44</v>
      </c>
      <c r="G9" s="56">
        <v>4</v>
      </c>
      <c r="H9" s="56">
        <v>16</v>
      </c>
      <c r="I9" t="s">
        <v>9</v>
      </c>
      <c r="J9" t="s">
        <v>232</v>
      </c>
    </row>
    <row r="10" spans="1:10">
      <c r="A10" s="56">
        <v>2020</v>
      </c>
      <c r="B10" s="56" t="s">
        <v>5</v>
      </c>
      <c r="C10" s="56">
        <v>5</v>
      </c>
      <c r="D10" s="56" t="s">
        <v>42</v>
      </c>
      <c r="E10" s="56" t="s">
        <v>58</v>
      </c>
      <c r="F10" s="56" t="s">
        <v>44</v>
      </c>
      <c r="G10" s="56">
        <v>1</v>
      </c>
      <c r="H10" s="56">
        <v>5</v>
      </c>
      <c r="I10" t="s">
        <v>9</v>
      </c>
      <c r="J10" t="s">
        <v>232</v>
      </c>
    </row>
    <row r="11" spans="1:10">
      <c r="A11" s="56">
        <v>2020</v>
      </c>
      <c r="B11" s="56" t="s">
        <v>5</v>
      </c>
      <c r="C11" s="56">
        <v>6</v>
      </c>
      <c r="D11" s="56" t="s">
        <v>42</v>
      </c>
      <c r="E11" s="56" t="s">
        <v>58</v>
      </c>
      <c r="F11" s="56" t="s">
        <v>44</v>
      </c>
      <c r="G11" s="56">
        <v>3</v>
      </c>
      <c r="H11" s="56">
        <v>18</v>
      </c>
      <c r="I11" t="s">
        <v>9</v>
      </c>
      <c r="J11" t="s">
        <v>232</v>
      </c>
    </row>
    <row r="12" spans="1:10">
      <c r="A12" s="56">
        <v>2020</v>
      </c>
      <c r="B12" s="56" t="s">
        <v>5</v>
      </c>
      <c r="C12" s="56">
        <v>6</v>
      </c>
      <c r="D12" s="56" t="s">
        <v>43</v>
      </c>
      <c r="E12" s="56" t="s">
        <v>58</v>
      </c>
      <c r="F12" s="56" t="s">
        <v>44</v>
      </c>
      <c r="G12" s="56">
        <v>3</v>
      </c>
      <c r="H12" s="56">
        <v>18</v>
      </c>
      <c r="I12" t="s">
        <v>9</v>
      </c>
      <c r="J12" t="s">
        <v>232</v>
      </c>
    </row>
    <row r="13" spans="1:10">
      <c r="A13" s="56">
        <v>2020</v>
      </c>
      <c r="B13" s="56" t="s">
        <v>5</v>
      </c>
      <c r="C13" s="56">
        <v>7</v>
      </c>
      <c r="D13" s="56" t="s">
        <v>42</v>
      </c>
      <c r="E13" s="56" t="s">
        <v>58</v>
      </c>
      <c r="F13" s="56" t="s">
        <v>44</v>
      </c>
      <c r="G13" s="56">
        <v>1</v>
      </c>
      <c r="H13" s="56">
        <v>7</v>
      </c>
      <c r="I13" t="s">
        <v>9</v>
      </c>
      <c r="J13" t="s">
        <v>232</v>
      </c>
    </row>
    <row r="14" spans="1:10">
      <c r="A14" s="56">
        <v>2020</v>
      </c>
      <c r="B14" s="56" t="s">
        <v>5</v>
      </c>
      <c r="C14" s="56">
        <v>7</v>
      </c>
      <c r="D14" s="56" t="s">
        <v>43</v>
      </c>
      <c r="E14" s="56" t="s">
        <v>58</v>
      </c>
      <c r="F14" s="56" t="s">
        <v>44</v>
      </c>
      <c r="G14" s="56">
        <v>11</v>
      </c>
      <c r="H14" s="56">
        <v>77</v>
      </c>
      <c r="I14" t="s">
        <v>9</v>
      </c>
      <c r="J14" t="s">
        <v>232</v>
      </c>
    </row>
    <row r="15" spans="1:10">
      <c r="A15" s="56">
        <v>2020</v>
      </c>
      <c r="B15" s="56" t="s">
        <v>5</v>
      </c>
      <c r="C15" s="56">
        <v>8</v>
      </c>
      <c r="D15" s="56" t="s">
        <v>42</v>
      </c>
      <c r="E15" s="56" t="s">
        <v>58</v>
      </c>
      <c r="F15" s="56" t="s">
        <v>44</v>
      </c>
      <c r="G15" s="56">
        <v>2</v>
      </c>
      <c r="H15" s="56">
        <v>16</v>
      </c>
      <c r="I15" t="s">
        <v>9</v>
      </c>
      <c r="J15" t="s">
        <v>232</v>
      </c>
    </row>
    <row r="16" spans="1:10">
      <c r="A16" s="56">
        <v>2020</v>
      </c>
      <c r="B16" s="56" t="s">
        <v>5</v>
      </c>
      <c r="C16" s="56">
        <v>9</v>
      </c>
      <c r="D16" s="56" t="s">
        <v>42</v>
      </c>
      <c r="E16" s="56" t="s">
        <v>58</v>
      </c>
      <c r="F16" s="56" t="s">
        <v>44</v>
      </c>
      <c r="G16" s="56">
        <v>2</v>
      </c>
      <c r="H16" s="56">
        <v>18</v>
      </c>
      <c r="I16" t="s">
        <v>9</v>
      </c>
      <c r="J16" t="s">
        <v>232</v>
      </c>
    </row>
    <row r="17" spans="1:10">
      <c r="A17" s="56">
        <v>2020</v>
      </c>
      <c r="B17" s="56" t="s">
        <v>5</v>
      </c>
      <c r="C17" s="56">
        <v>10</v>
      </c>
      <c r="D17" s="56" t="s">
        <v>42</v>
      </c>
      <c r="E17" s="56" t="s">
        <v>58</v>
      </c>
      <c r="F17" s="56" t="s">
        <v>44</v>
      </c>
      <c r="G17" s="56">
        <v>1</v>
      </c>
      <c r="H17" s="56">
        <v>10</v>
      </c>
      <c r="I17" t="s">
        <v>9</v>
      </c>
      <c r="J17" t="s">
        <v>232</v>
      </c>
    </row>
    <row r="18" spans="1:10">
      <c r="A18" s="56">
        <v>2020</v>
      </c>
      <c r="B18" s="56" t="s">
        <v>5</v>
      </c>
      <c r="C18" s="56">
        <v>10</v>
      </c>
      <c r="D18" s="56" t="s">
        <v>43</v>
      </c>
      <c r="E18" s="56" t="s">
        <v>58</v>
      </c>
      <c r="F18" s="56" t="s">
        <v>44</v>
      </c>
      <c r="G18" s="56">
        <v>7</v>
      </c>
      <c r="H18" s="56">
        <v>70</v>
      </c>
      <c r="I18" t="s">
        <v>9</v>
      </c>
      <c r="J18" t="s">
        <v>232</v>
      </c>
    </row>
    <row r="19" spans="1:10">
      <c r="A19" s="56">
        <v>2020</v>
      </c>
      <c r="B19" s="56" t="s">
        <v>5</v>
      </c>
      <c r="C19" s="56">
        <v>11</v>
      </c>
      <c r="D19" s="56" t="s">
        <v>42</v>
      </c>
      <c r="E19" s="56" t="s">
        <v>58</v>
      </c>
      <c r="F19" s="56" t="s">
        <v>44</v>
      </c>
      <c r="G19" s="56">
        <v>3</v>
      </c>
      <c r="H19" s="56">
        <v>33</v>
      </c>
      <c r="I19" t="s">
        <v>9</v>
      </c>
      <c r="J19" t="s">
        <v>232</v>
      </c>
    </row>
    <row r="20" spans="1:10">
      <c r="A20" s="56">
        <v>2020</v>
      </c>
      <c r="B20" s="56" t="s">
        <v>5</v>
      </c>
      <c r="C20" s="56">
        <v>11</v>
      </c>
      <c r="D20" s="56" t="s">
        <v>43</v>
      </c>
      <c r="E20" s="56" t="s">
        <v>58</v>
      </c>
      <c r="F20" s="56" t="s">
        <v>44</v>
      </c>
      <c r="G20" s="56">
        <v>11</v>
      </c>
      <c r="H20" s="56">
        <v>121</v>
      </c>
      <c r="I20" t="s">
        <v>9</v>
      </c>
      <c r="J20" t="s">
        <v>232</v>
      </c>
    </row>
    <row r="21" spans="1:10">
      <c r="A21" s="56">
        <v>2020</v>
      </c>
      <c r="B21" s="56" t="s">
        <v>5</v>
      </c>
      <c r="C21" s="56">
        <v>12</v>
      </c>
      <c r="D21" s="56" t="s">
        <v>43</v>
      </c>
      <c r="E21" s="56" t="s">
        <v>58</v>
      </c>
      <c r="F21" s="56" t="s">
        <v>44</v>
      </c>
      <c r="G21" s="56">
        <v>5</v>
      </c>
      <c r="H21" s="56">
        <v>60</v>
      </c>
      <c r="I21" t="s">
        <v>9</v>
      </c>
      <c r="J21" t="s">
        <v>232</v>
      </c>
    </row>
    <row r="22" spans="1:10">
      <c r="A22" s="56">
        <v>2020</v>
      </c>
      <c r="B22" s="56" t="s">
        <v>5</v>
      </c>
      <c r="C22" s="56">
        <v>13</v>
      </c>
      <c r="D22" s="56" t="s">
        <v>42</v>
      </c>
      <c r="E22" s="56" t="s">
        <v>58</v>
      </c>
      <c r="F22" s="56" t="s">
        <v>44</v>
      </c>
      <c r="G22" s="56">
        <v>11</v>
      </c>
      <c r="H22" s="56">
        <v>143</v>
      </c>
      <c r="I22" t="s">
        <v>9</v>
      </c>
      <c r="J22" t="s">
        <v>232</v>
      </c>
    </row>
    <row r="23" spans="1:10">
      <c r="A23" s="56">
        <v>2020</v>
      </c>
      <c r="B23" s="56" t="s">
        <v>5</v>
      </c>
      <c r="C23" s="56">
        <v>13</v>
      </c>
      <c r="D23" s="56" t="s">
        <v>43</v>
      </c>
      <c r="E23" s="56" t="s">
        <v>58</v>
      </c>
      <c r="F23" s="56" t="s">
        <v>44</v>
      </c>
      <c r="G23" s="56">
        <v>11</v>
      </c>
      <c r="H23" s="56">
        <v>143</v>
      </c>
      <c r="I23" t="s">
        <v>9</v>
      </c>
      <c r="J23" t="s">
        <v>232</v>
      </c>
    </row>
    <row r="24" spans="1:10">
      <c r="A24" s="56">
        <v>2020</v>
      </c>
      <c r="B24" s="56" t="s">
        <v>5</v>
      </c>
      <c r="C24" s="56">
        <v>14</v>
      </c>
      <c r="D24" s="56" t="s">
        <v>42</v>
      </c>
      <c r="E24" s="56" t="s">
        <v>58</v>
      </c>
      <c r="F24" s="56" t="s">
        <v>44</v>
      </c>
      <c r="G24" s="56">
        <v>1</v>
      </c>
      <c r="H24" s="56">
        <v>14</v>
      </c>
      <c r="I24" t="s">
        <v>9</v>
      </c>
      <c r="J24" t="s">
        <v>232</v>
      </c>
    </row>
    <row r="25" spans="1:10">
      <c r="A25" s="56">
        <v>2020</v>
      </c>
      <c r="B25" s="56" t="s">
        <v>5</v>
      </c>
      <c r="C25" s="56">
        <v>14</v>
      </c>
      <c r="D25" s="56" t="s">
        <v>43</v>
      </c>
      <c r="E25" s="56" t="s">
        <v>58</v>
      </c>
      <c r="F25" s="56" t="s">
        <v>44</v>
      </c>
      <c r="G25" s="56">
        <v>20</v>
      </c>
      <c r="H25" s="56">
        <v>280</v>
      </c>
      <c r="I25" t="s">
        <v>9</v>
      </c>
      <c r="J25" t="s">
        <v>232</v>
      </c>
    </row>
    <row r="26" spans="1:10">
      <c r="A26" s="56">
        <v>2020</v>
      </c>
      <c r="B26" s="56" t="s">
        <v>5</v>
      </c>
      <c r="C26" s="56">
        <v>15</v>
      </c>
      <c r="D26" s="56" t="s">
        <v>42</v>
      </c>
      <c r="E26" s="56" t="s">
        <v>58</v>
      </c>
      <c r="F26" s="56" t="s">
        <v>44</v>
      </c>
      <c r="G26" s="56">
        <v>1</v>
      </c>
      <c r="H26" s="56">
        <v>15</v>
      </c>
      <c r="I26" t="s">
        <v>9</v>
      </c>
      <c r="J26" t="s">
        <v>232</v>
      </c>
    </row>
    <row r="27" spans="1:10">
      <c r="A27" s="56">
        <v>2020</v>
      </c>
      <c r="B27" s="56" t="s">
        <v>5</v>
      </c>
      <c r="C27" s="56">
        <v>15</v>
      </c>
      <c r="D27" s="56" t="s">
        <v>43</v>
      </c>
      <c r="E27" s="56" t="s">
        <v>58</v>
      </c>
      <c r="F27" s="56" t="s">
        <v>44</v>
      </c>
      <c r="G27" s="56">
        <v>2</v>
      </c>
      <c r="H27" s="56">
        <v>30</v>
      </c>
      <c r="I27" t="s">
        <v>9</v>
      </c>
      <c r="J27" t="s">
        <v>232</v>
      </c>
    </row>
    <row r="28" spans="1:10">
      <c r="A28" s="56">
        <v>2020</v>
      </c>
      <c r="B28" s="56" t="s">
        <v>5</v>
      </c>
      <c r="C28" s="56">
        <v>16</v>
      </c>
      <c r="D28" s="56" t="s">
        <v>42</v>
      </c>
      <c r="E28" s="56" t="s">
        <v>58</v>
      </c>
      <c r="F28" s="56" t="s">
        <v>44</v>
      </c>
      <c r="G28" s="56">
        <v>1</v>
      </c>
      <c r="H28" s="56">
        <v>16</v>
      </c>
      <c r="I28" t="s">
        <v>9</v>
      </c>
      <c r="J28" t="s">
        <v>232</v>
      </c>
    </row>
    <row r="29" spans="1:10">
      <c r="A29" s="56">
        <v>2020</v>
      </c>
      <c r="B29" s="56" t="s">
        <v>5</v>
      </c>
      <c r="C29" s="56">
        <v>16</v>
      </c>
      <c r="D29" s="56" t="s">
        <v>43</v>
      </c>
      <c r="E29" s="56" t="s">
        <v>58</v>
      </c>
      <c r="F29" s="56" t="s">
        <v>44</v>
      </c>
      <c r="G29" s="56">
        <v>8</v>
      </c>
      <c r="H29" s="56">
        <v>128</v>
      </c>
      <c r="I29" t="s">
        <v>9</v>
      </c>
      <c r="J29" t="s">
        <v>232</v>
      </c>
    </row>
    <row r="30" spans="1:10">
      <c r="A30" s="56">
        <v>2020</v>
      </c>
      <c r="B30" s="56" t="s">
        <v>5</v>
      </c>
      <c r="C30" s="56">
        <v>17</v>
      </c>
      <c r="D30" s="56" t="s">
        <v>42</v>
      </c>
      <c r="E30" s="56" t="s">
        <v>58</v>
      </c>
      <c r="F30" s="56" t="s">
        <v>44</v>
      </c>
      <c r="G30" s="56">
        <v>3</v>
      </c>
      <c r="H30" s="56">
        <v>51</v>
      </c>
      <c r="I30" t="s">
        <v>9</v>
      </c>
      <c r="J30" t="s">
        <v>232</v>
      </c>
    </row>
    <row r="31" spans="1:10">
      <c r="A31" s="56">
        <v>2020</v>
      </c>
      <c r="B31" s="56" t="s">
        <v>5</v>
      </c>
      <c r="C31" s="56">
        <v>17</v>
      </c>
      <c r="D31" s="56" t="s">
        <v>43</v>
      </c>
      <c r="E31" s="56" t="s">
        <v>58</v>
      </c>
      <c r="F31" s="56" t="s">
        <v>44</v>
      </c>
      <c r="G31" s="56">
        <v>19</v>
      </c>
      <c r="H31" s="56">
        <v>323</v>
      </c>
      <c r="I31" t="s">
        <v>9</v>
      </c>
      <c r="J31" t="s">
        <v>232</v>
      </c>
    </row>
    <row r="32" spans="1:10">
      <c r="A32" s="56">
        <v>2020</v>
      </c>
      <c r="B32" s="56" t="s">
        <v>5</v>
      </c>
      <c r="C32" s="56">
        <v>18</v>
      </c>
      <c r="D32" s="56" t="s">
        <v>42</v>
      </c>
      <c r="E32" s="56" t="s">
        <v>58</v>
      </c>
      <c r="F32" s="56" t="s">
        <v>44</v>
      </c>
      <c r="G32" s="56">
        <v>1</v>
      </c>
      <c r="H32" s="56">
        <v>18</v>
      </c>
      <c r="I32" t="s">
        <v>9</v>
      </c>
      <c r="J32" t="s">
        <v>232</v>
      </c>
    </row>
    <row r="33" spans="1:10">
      <c r="A33" s="56">
        <v>2020</v>
      </c>
      <c r="B33" s="56" t="s">
        <v>5</v>
      </c>
      <c r="C33" s="56">
        <v>18</v>
      </c>
      <c r="D33" s="56" t="s">
        <v>43</v>
      </c>
      <c r="E33" s="56" t="s">
        <v>58</v>
      </c>
      <c r="F33" s="56" t="s">
        <v>44</v>
      </c>
      <c r="G33" s="56">
        <v>24</v>
      </c>
      <c r="H33" s="56">
        <v>432</v>
      </c>
      <c r="I33" t="s">
        <v>9</v>
      </c>
      <c r="J33" t="s">
        <v>232</v>
      </c>
    </row>
    <row r="34" spans="1:10">
      <c r="A34" s="56">
        <v>2020</v>
      </c>
      <c r="B34" s="56" t="s">
        <v>5</v>
      </c>
      <c r="C34" s="56">
        <v>19</v>
      </c>
      <c r="D34" s="56" t="s">
        <v>43</v>
      </c>
      <c r="E34" s="56" t="s">
        <v>58</v>
      </c>
      <c r="F34" s="56" t="s">
        <v>44</v>
      </c>
      <c r="G34" s="56">
        <v>21</v>
      </c>
      <c r="H34" s="56">
        <v>399</v>
      </c>
      <c r="I34" t="s">
        <v>9</v>
      </c>
      <c r="J34" t="s">
        <v>232</v>
      </c>
    </row>
    <row r="35" spans="1:10">
      <c r="A35" s="56">
        <v>2020</v>
      </c>
      <c r="B35" s="56" t="s">
        <v>5</v>
      </c>
      <c r="C35" s="56">
        <v>20</v>
      </c>
      <c r="D35" s="56" t="s">
        <v>42</v>
      </c>
      <c r="E35" s="56" t="s">
        <v>56</v>
      </c>
      <c r="F35" s="56" t="s">
        <v>44</v>
      </c>
      <c r="G35" s="56">
        <v>1</v>
      </c>
      <c r="H35" s="56">
        <v>20</v>
      </c>
      <c r="I35" t="s">
        <v>9</v>
      </c>
      <c r="J35" t="s">
        <v>232</v>
      </c>
    </row>
    <row r="36" spans="1:10">
      <c r="A36" s="56">
        <v>2020</v>
      </c>
      <c r="B36" s="56" t="s">
        <v>5</v>
      </c>
      <c r="C36" s="56">
        <v>20</v>
      </c>
      <c r="D36" s="56" t="s">
        <v>42</v>
      </c>
      <c r="E36" s="56" t="s">
        <v>58</v>
      </c>
      <c r="F36" s="56" t="s">
        <v>44</v>
      </c>
      <c r="G36" s="56">
        <v>1</v>
      </c>
      <c r="H36" s="56">
        <v>20</v>
      </c>
      <c r="I36" t="s">
        <v>9</v>
      </c>
      <c r="J36" t="s">
        <v>232</v>
      </c>
    </row>
    <row r="37" spans="1:10">
      <c r="A37" s="56">
        <v>2020</v>
      </c>
      <c r="B37" s="56" t="s">
        <v>5</v>
      </c>
      <c r="C37" s="56">
        <v>20</v>
      </c>
      <c r="D37" s="56" t="s">
        <v>43</v>
      </c>
      <c r="E37" s="56" t="s">
        <v>56</v>
      </c>
      <c r="F37" s="56" t="s">
        <v>44</v>
      </c>
      <c r="G37" s="56">
        <v>2</v>
      </c>
      <c r="H37" s="56">
        <v>40</v>
      </c>
      <c r="I37" t="s">
        <v>9</v>
      </c>
      <c r="J37" t="s">
        <v>232</v>
      </c>
    </row>
    <row r="38" spans="1:10">
      <c r="A38" s="56">
        <v>2020</v>
      </c>
      <c r="B38" s="56" t="s">
        <v>5</v>
      </c>
      <c r="C38" s="56">
        <v>21</v>
      </c>
      <c r="D38" s="56" t="s">
        <v>42</v>
      </c>
      <c r="E38" s="56" t="s">
        <v>58</v>
      </c>
      <c r="F38" s="56" t="s">
        <v>44</v>
      </c>
      <c r="G38" s="56">
        <v>1</v>
      </c>
      <c r="H38" s="56">
        <v>21</v>
      </c>
      <c r="I38" t="s">
        <v>9</v>
      </c>
      <c r="J38" t="s">
        <v>232</v>
      </c>
    </row>
    <row r="39" spans="1:10">
      <c r="A39" s="56">
        <v>2020</v>
      </c>
      <c r="B39" s="56" t="s">
        <v>5</v>
      </c>
      <c r="C39" s="56">
        <v>21</v>
      </c>
      <c r="D39" s="56" t="s">
        <v>43</v>
      </c>
      <c r="E39" s="56" t="s">
        <v>56</v>
      </c>
      <c r="F39" s="56" t="s">
        <v>44</v>
      </c>
      <c r="G39" s="56">
        <v>2</v>
      </c>
      <c r="H39" s="56">
        <v>42</v>
      </c>
      <c r="I39" t="s">
        <v>9</v>
      </c>
      <c r="J39" t="s">
        <v>232</v>
      </c>
    </row>
    <row r="40" spans="1:10">
      <c r="A40" s="56">
        <v>2020</v>
      </c>
      <c r="B40" s="56" t="s">
        <v>5</v>
      </c>
      <c r="C40" s="56">
        <v>21</v>
      </c>
      <c r="D40" s="56" t="s">
        <v>43</v>
      </c>
      <c r="E40" s="56" t="s">
        <v>58</v>
      </c>
      <c r="F40" s="56" t="s">
        <v>44</v>
      </c>
      <c r="G40" s="56">
        <v>22</v>
      </c>
      <c r="H40" s="56">
        <v>462</v>
      </c>
      <c r="I40" t="s">
        <v>9</v>
      </c>
      <c r="J40" t="s">
        <v>232</v>
      </c>
    </row>
    <row r="41" spans="1:10">
      <c r="A41" s="56">
        <v>2020</v>
      </c>
      <c r="B41" s="56" t="s">
        <v>5</v>
      </c>
      <c r="C41" s="56">
        <v>22</v>
      </c>
      <c r="D41" s="56" t="s">
        <v>42</v>
      </c>
      <c r="E41" s="56" t="s">
        <v>56</v>
      </c>
      <c r="F41" s="56" t="s">
        <v>44</v>
      </c>
      <c r="G41" s="56">
        <v>2</v>
      </c>
      <c r="H41" s="56">
        <v>44</v>
      </c>
      <c r="I41" t="s">
        <v>9</v>
      </c>
      <c r="J41" t="s">
        <v>232</v>
      </c>
    </row>
    <row r="42" spans="1:10">
      <c r="A42" s="56">
        <v>2020</v>
      </c>
      <c r="B42" s="56" t="s">
        <v>5</v>
      </c>
      <c r="C42" s="56">
        <v>22</v>
      </c>
      <c r="D42" s="56" t="s">
        <v>42</v>
      </c>
      <c r="E42" s="56" t="s">
        <v>58</v>
      </c>
      <c r="F42" s="56" t="s">
        <v>44</v>
      </c>
      <c r="G42" s="56">
        <v>2</v>
      </c>
      <c r="H42" s="56">
        <v>44</v>
      </c>
      <c r="I42" t="s">
        <v>9</v>
      </c>
      <c r="J42" t="s">
        <v>232</v>
      </c>
    </row>
    <row r="43" spans="1:10">
      <c r="A43" s="56">
        <v>2020</v>
      </c>
      <c r="B43" s="56" t="s">
        <v>5</v>
      </c>
      <c r="C43" s="56">
        <v>22</v>
      </c>
      <c r="D43" s="56" t="s">
        <v>43</v>
      </c>
      <c r="E43" s="56" t="s">
        <v>56</v>
      </c>
      <c r="F43" s="56" t="s">
        <v>44</v>
      </c>
      <c r="G43" s="56">
        <v>12</v>
      </c>
      <c r="H43" s="56">
        <v>264</v>
      </c>
      <c r="I43" t="s">
        <v>9</v>
      </c>
      <c r="J43" t="s">
        <v>232</v>
      </c>
    </row>
    <row r="44" spans="1:10">
      <c r="A44" s="56">
        <v>2020</v>
      </c>
      <c r="B44" s="56" t="s">
        <v>5</v>
      </c>
      <c r="C44" s="56">
        <v>22</v>
      </c>
      <c r="D44" s="56" t="s">
        <v>43</v>
      </c>
      <c r="E44" s="56" t="s">
        <v>58</v>
      </c>
      <c r="F44" s="56" t="s">
        <v>44</v>
      </c>
      <c r="G44" s="56">
        <v>16</v>
      </c>
      <c r="H44" s="56">
        <v>352</v>
      </c>
      <c r="I44" t="s">
        <v>9</v>
      </c>
      <c r="J44" t="s">
        <v>232</v>
      </c>
    </row>
    <row r="45" spans="1:10">
      <c r="A45" s="56">
        <v>2020</v>
      </c>
      <c r="B45" s="56" t="s">
        <v>5</v>
      </c>
      <c r="C45" s="56">
        <v>23</v>
      </c>
      <c r="D45" s="56" t="s">
        <v>42</v>
      </c>
      <c r="E45" s="56" t="s">
        <v>56</v>
      </c>
      <c r="F45" s="56" t="s">
        <v>44</v>
      </c>
      <c r="G45" s="56">
        <v>4</v>
      </c>
      <c r="H45" s="56">
        <v>92</v>
      </c>
      <c r="I45" t="s">
        <v>9</v>
      </c>
      <c r="J45" t="s">
        <v>232</v>
      </c>
    </row>
    <row r="46" spans="1:10">
      <c r="A46" s="56">
        <v>2020</v>
      </c>
      <c r="B46" s="56" t="s">
        <v>5</v>
      </c>
      <c r="C46" s="56">
        <v>23</v>
      </c>
      <c r="D46" s="56" t="s">
        <v>43</v>
      </c>
      <c r="E46" s="56" t="s">
        <v>56</v>
      </c>
      <c r="F46" s="56" t="s">
        <v>44</v>
      </c>
      <c r="G46" s="56">
        <v>21</v>
      </c>
      <c r="H46" s="56">
        <v>483</v>
      </c>
      <c r="I46" t="s">
        <v>9</v>
      </c>
      <c r="J46" t="s">
        <v>232</v>
      </c>
    </row>
    <row r="47" spans="1:10">
      <c r="A47" s="56">
        <v>2020</v>
      </c>
      <c r="B47" s="56" t="s">
        <v>5</v>
      </c>
      <c r="C47" s="56">
        <v>23</v>
      </c>
      <c r="D47" s="56" t="s">
        <v>43</v>
      </c>
      <c r="E47" s="56" t="s">
        <v>58</v>
      </c>
      <c r="F47" s="56" t="s">
        <v>44</v>
      </c>
      <c r="G47" s="56">
        <v>15</v>
      </c>
      <c r="H47" s="56">
        <v>345</v>
      </c>
      <c r="I47" t="s">
        <v>9</v>
      </c>
      <c r="J47" t="s">
        <v>232</v>
      </c>
    </row>
    <row r="48" spans="1:10">
      <c r="A48" s="56">
        <v>2020</v>
      </c>
      <c r="B48" s="56" t="s">
        <v>5</v>
      </c>
      <c r="C48" s="56">
        <v>24</v>
      </c>
      <c r="D48" s="56" t="s">
        <v>42</v>
      </c>
      <c r="E48" s="56" t="s">
        <v>56</v>
      </c>
      <c r="F48" s="56" t="s">
        <v>44</v>
      </c>
      <c r="G48" s="56">
        <v>2</v>
      </c>
      <c r="H48" s="56">
        <v>48</v>
      </c>
      <c r="I48" t="s">
        <v>9</v>
      </c>
      <c r="J48" t="s">
        <v>232</v>
      </c>
    </row>
    <row r="49" spans="1:10">
      <c r="A49" s="56">
        <v>2020</v>
      </c>
      <c r="B49" s="56" t="s">
        <v>5</v>
      </c>
      <c r="C49" s="56">
        <v>24</v>
      </c>
      <c r="D49" s="56" t="s">
        <v>42</v>
      </c>
      <c r="E49" s="56" t="s">
        <v>58</v>
      </c>
      <c r="F49" s="56" t="s">
        <v>44</v>
      </c>
      <c r="G49" s="56">
        <v>1</v>
      </c>
      <c r="H49" s="56">
        <v>24</v>
      </c>
      <c r="I49" t="s">
        <v>9</v>
      </c>
      <c r="J49" t="s">
        <v>232</v>
      </c>
    </row>
    <row r="50" spans="1:10">
      <c r="A50" s="56">
        <v>2020</v>
      </c>
      <c r="B50" s="56" t="s">
        <v>5</v>
      </c>
      <c r="C50" s="56">
        <v>24</v>
      </c>
      <c r="D50" s="56" t="s">
        <v>43</v>
      </c>
      <c r="E50" s="56" t="s">
        <v>56</v>
      </c>
      <c r="F50" s="56" t="s">
        <v>44</v>
      </c>
      <c r="G50" s="56">
        <v>21</v>
      </c>
      <c r="H50" s="56">
        <v>504</v>
      </c>
      <c r="I50" t="s">
        <v>9</v>
      </c>
      <c r="J50" t="s">
        <v>232</v>
      </c>
    </row>
    <row r="51" spans="1:10">
      <c r="A51" s="56">
        <v>2020</v>
      </c>
      <c r="B51" s="56" t="s">
        <v>5</v>
      </c>
      <c r="C51" s="56">
        <v>24</v>
      </c>
      <c r="D51" s="56" t="s">
        <v>43</v>
      </c>
      <c r="E51" s="56" t="s">
        <v>58</v>
      </c>
      <c r="F51" s="56" t="s">
        <v>44</v>
      </c>
      <c r="G51" s="56">
        <v>14</v>
      </c>
      <c r="H51" s="56">
        <v>336</v>
      </c>
      <c r="I51" t="s">
        <v>9</v>
      </c>
      <c r="J51" t="s">
        <v>232</v>
      </c>
    </row>
    <row r="52" spans="1:10">
      <c r="A52" s="56">
        <v>2020</v>
      </c>
      <c r="B52" s="56" t="s">
        <v>5</v>
      </c>
      <c r="C52" s="56">
        <v>25</v>
      </c>
      <c r="D52" s="56" t="s">
        <v>42</v>
      </c>
      <c r="E52" s="56" t="s">
        <v>56</v>
      </c>
      <c r="F52" s="56" t="s">
        <v>45</v>
      </c>
      <c r="G52" s="56">
        <v>6</v>
      </c>
      <c r="H52" s="56">
        <v>150</v>
      </c>
      <c r="I52" t="s">
        <v>9</v>
      </c>
      <c r="J52" t="s">
        <v>232</v>
      </c>
    </row>
    <row r="53" spans="1:10">
      <c r="A53" s="56">
        <v>2020</v>
      </c>
      <c r="B53" s="56" t="s">
        <v>5</v>
      </c>
      <c r="C53" s="56">
        <v>25</v>
      </c>
      <c r="D53" s="56" t="s">
        <v>42</v>
      </c>
      <c r="E53" s="56" t="s">
        <v>58</v>
      </c>
      <c r="F53" s="56" t="s">
        <v>45</v>
      </c>
      <c r="G53" s="56">
        <v>2</v>
      </c>
      <c r="H53" s="56">
        <v>50</v>
      </c>
      <c r="I53" t="s">
        <v>9</v>
      </c>
      <c r="J53" t="s">
        <v>232</v>
      </c>
    </row>
    <row r="54" spans="1:10">
      <c r="A54" s="56">
        <v>2020</v>
      </c>
      <c r="B54" s="56" t="s">
        <v>5</v>
      </c>
      <c r="C54" s="56">
        <v>25</v>
      </c>
      <c r="D54" s="56" t="s">
        <v>43</v>
      </c>
      <c r="E54" s="56" t="s">
        <v>56</v>
      </c>
      <c r="F54" s="56" t="s">
        <v>45</v>
      </c>
      <c r="G54" s="56">
        <v>41</v>
      </c>
      <c r="H54" s="56">
        <v>1025</v>
      </c>
      <c r="I54" t="s">
        <v>9</v>
      </c>
      <c r="J54" t="s">
        <v>232</v>
      </c>
    </row>
    <row r="55" spans="1:10">
      <c r="A55" s="56">
        <v>2020</v>
      </c>
      <c r="B55" s="56" t="s">
        <v>5</v>
      </c>
      <c r="C55" s="56">
        <v>25</v>
      </c>
      <c r="D55" s="56" t="s">
        <v>43</v>
      </c>
      <c r="E55" s="56" t="s">
        <v>58</v>
      </c>
      <c r="F55" s="56" t="s">
        <v>45</v>
      </c>
      <c r="G55" s="56">
        <v>9</v>
      </c>
      <c r="H55" s="56">
        <v>225</v>
      </c>
      <c r="I55" t="s">
        <v>9</v>
      </c>
      <c r="J55" t="s">
        <v>232</v>
      </c>
    </row>
    <row r="56" spans="1:10">
      <c r="A56" s="56">
        <v>2020</v>
      </c>
      <c r="B56" s="56" t="s">
        <v>5</v>
      </c>
      <c r="C56" s="56">
        <v>26</v>
      </c>
      <c r="D56" s="56" t="s">
        <v>42</v>
      </c>
      <c r="E56" s="56" t="s">
        <v>56</v>
      </c>
      <c r="F56" s="56" t="s">
        <v>45</v>
      </c>
      <c r="G56" s="56">
        <v>10</v>
      </c>
      <c r="H56" s="56">
        <v>260</v>
      </c>
      <c r="I56" t="s">
        <v>9</v>
      </c>
      <c r="J56" t="s">
        <v>232</v>
      </c>
    </row>
    <row r="57" spans="1:10">
      <c r="A57" s="56">
        <v>2020</v>
      </c>
      <c r="B57" s="56" t="s">
        <v>5</v>
      </c>
      <c r="C57" s="56">
        <v>26</v>
      </c>
      <c r="D57" s="56" t="s">
        <v>43</v>
      </c>
      <c r="E57" s="56" t="s">
        <v>56</v>
      </c>
      <c r="F57" s="56" t="s">
        <v>45</v>
      </c>
      <c r="G57" s="56">
        <v>54</v>
      </c>
      <c r="H57" s="56">
        <v>1404</v>
      </c>
      <c r="I57" t="s">
        <v>9</v>
      </c>
      <c r="J57" t="s">
        <v>232</v>
      </c>
    </row>
    <row r="58" spans="1:10">
      <c r="A58" s="56">
        <v>2020</v>
      </c>
      <c r="B58" s="56" t="s">
        <v>5</v>
      </c>
      <c r="C58" s="56">
        <v>26</v>
      </c>
      <c r="D58" s="56" t="s">
        <v>43</v>
      </c>
      <c r="E58" s="56" t="s">
        <v>58</v>
      </c>
      <c r="F58" s="56" t="s">
        <v>45</v>
      </c>
      <c r="G58" s="56">
        <v>8</v>
      </c>
      <c r="H58" s="56">
        <v>208</v>
      </c>
      <c r="I58" t="s">
        <v>9</v>
      </c>
      <c r="J58" t="s">
        <v>232</v>
      </c>
    </row>
    <row r="59" spans="1:10">
      <c r="A59" s="56">
        <v>2020</v>
      </c>
      <c r="B59" s="56" t="s">
        <v>5</v>
      </c>
      <c r="C59" s="56">
        <v>27</v>
      </c>
      <c r="D59" s="56" t="s">
        <v>42</v>
      </c>
      <c r="E59" s="56" t="s">
        <v>56</v>
      </c>
      <c r="F59" s="56" t="s">
        <v>45</v>
      </c>
      <c r="G59" s="56">
        <v>10</v>
      </c>
      <c r="H59" s="56">
        <v>270</v>
      </c>
      <c r="I59" t="s">
        <v>9</v>
      </c>
      <c r="J59" t="s">
        <v>232</v>
      </c>
    </row>
    <row r="60" spans="1:10">
      <c r="A60" s="56">
        <v>2020</v>
      </c>
      <c r="B60" s="56" t="s">
        <v>5</v>
      </c>
      <c r="C60" s="56">
        <v>27</v>
      </c>
      <c r="D60" s="56" t="s">
        <v>42</v>
      </c>
      <c r="E60" s="56" t="s">
        <v>58</v>
      </c>
      <c r="F60" s="56" t="s">
        <v>45</v>
      </c>
      <c r="G60" s="56">
        <v>10</v>
      </c>
      <c r="H60" s="56">
        <v>270</v>
      </c>
      <c r="I60" t="s">
        <v>9</v>
      </c>
      <c r="J60" t="s">
        <v>232</v>
      </c>
    </row>
    <row r="61" spans="1:10">
      <c r="A61" s="56">
        <v>2020</v>
      </c>
      <c r="B61" s="56" t="s">
        <v>5</v>
      </c>
      <c r="C61" s="56">
        <v>27</v>
      </c>
      <c r="D61" s="56" t="s">
        <v>43</v>
      </c>
      <c r="E61" s="56" t="s">
        <v>56</v>
      </c>
      <c r="F61" s="56" t="s">
        <v>45</v>
      </c>
      <c r="G61" s="56">
        <v>48</v>
      </c>
      <c r="H61" s="56">
        <v>1296</v>
      </c>
      <c r="I61" t="s">
        <v>9</v>
      </c>
      <c r="J61" t="s">
        <v>232</v>
      </c>
    </row>
    <row r="62" spans="1:10">
      <c r="A62" s="56">
        <v>2020</v>
      </c>
      <c r="B62" s="56" t="s">
        <v>5</v>
      </c>
      <c r="C62" s="56">
        <v>27</v>
      </c>
      <c r="D62" s="56" t="s">
        <v>43</v>
      </c>
      <c r="E62" s="56" t="s">
        <v>58</v>
      </c>
      <c r="F62" s="56" t="s">
        <v>45</v>
      </c>
      <c r="G62" s="56">
        <v>1</v>
      </c>
      <c r="H62" s="56">
        <v>27</v>
      </c>
      <c r="I62" t="s">
        <v>9</v>
      </c>
      <c r="J62" t="s">
        <v>232</v>
      </c>
    </row>
    <row r="63" spans="1:10">
      <c r="A63" s="56">
        <v>2020</v>
      </c>
      <c r="B63" s="56" t="s">
        <v>5</v>
      </c>
      <c r="C63" s="56">
        <v>28</v>
      </c>
      <c r="D63" s="56" t="s">
        <v>42</v>
      </c>
      <c r="E63" s="56" t="s">
        <v>56</v>
      </c>
      <c r="F63" s="56" t="s">
        <v>45</v>
      </c>
      <c r="G63" s="56">
        <v>13</v>
      </c>
      <c r="H63" s="56">
        <v>364</v>
      </c>
      <c r="I63" t="s">
        <v>9</v>
      </c>
      <c r="J63" t="s">
        <v>232</v>
      </c>
    </row>
    <row r="64" spans="1:10">
      <c r="A64" s="56">
        <v>2020</v>
      </c>
      <c r="B64" s="56" t="s">
        <v>5</v>
      </c>
      <c r="C64" s="56">
        <v>28</v>
      </c>
      <c r="D64" s="56" t="s">
        <v>43</v>
      </c>
      <c r="E64" s="56" t="s">
        <v>56</v>
      </c>
      <c r="F64" s="56" t="s">
        <v>45</v>
      </c>
      <c r="G64" s="56">
        <v>67</v>
      </c>
      <c r="H64" s="56">
        <v>1876</v>
      </c>
      <c r="I64" t="s">
        <v>9</v>
      </c>
      <c r="J64" t="s">
        <v>232</v>
      </c>
    </row>
    <row r="65" spans="1:10">
      <c r="A65" s="56">
        <v>2020</v>
      </c>
      <c r="B65" s="56" t="s">
        <v>5</v>
      </c>
      <c r="C65" s="56">
        <v>28</v>
      </c>
      <c r="D65" s="56" t="s">
        <v>43</v>
      </c>
      <c r="E65" s="56" t="s">
        <v>58</v>
      </c>
      <c r="F65" s="56" t="s">
        <v>45</v>
      </c>
      <c r="G65" s="56">
        <v>17</v>
      </c>
      <c r="H65" s="56">
        <v>476</v>
      </c>
      <c r="I65" t="s">
        <v>9</v>
      </c>
      <c r="J65" t="s">
        <v>232</v>
      </c>
    </row>
    <row r="66" spans="1:10">
      <c r="A66" s="56">
        <v>2020</v>
      </c>
      <c r="B66" s="56" t="s">
        <v>5</v>
      </c>
      <c r="C66" s="56">
        <v>29</v>
      </c>
      <c r="D66" s="56" t="s">
        <v>42</v>
      </c>
      <c r="E66" s="56" t="s">
        <v>56</v>
      </c>
      <c r="F66" s="56" t="s">
        <v>45</v>
      </c>
      <c r="G66" s="56">
        <v>14</v>
      </c>
      <c r="H66" s="56">
        <v>406</v>
      </c>
      <c r="I66" t="s">
        <v>9</v>
      </c>
      <c r="J66" t="s">
        <v>232</v>
      </c>
    </row>
    <row r="67" spans="1:10">
      <c r="A67" s="56">
        <v>2020</v>
      </c>
      <c r="B67" s="56" t="s">
        <v>5</v>
      </c>
      <c r="C67" s="56">
        <v>29</v>
      </c>
      <c r="D67" s="56" t="s">
        <v>43</v>
      </c>
      <c r="E67" s="56" t="s">
        <v>56</v>
      </c>
      <c r="F67" s="56" t="s">
        <v>45</v>
      </c>
      <c r="G67" s="56">
        <v>77</v>
      </c>
      <c r="H67" s="56">
        <v>2233</v>
      </c>
      <c r="I67" t="s">
        <v>9</v>
      </c>
      <c r="J67" t="s">
        <v>232</v>
      </c>
    </row>
    <row r="68" spans="1:10">
      <c r="A68" s="56">
        <v>2020</v>
      </c>
      <c r="B68" s="56" t="s">
        <v>5</v>
      </c>
      <c r="C68" s="56">
        <v>30</v>
      </c>
      <c r="D68" s="56" t="s">
        <v>42</v>
      </c>
      <c r="E68" s="56" t="s">
        <v>56</v>
      </c>
      <c r="F68" s="56" t="s">
        <v>46</v>
      </c>
      <c r="G68" s="56">
        <v>15</v>
      </c>
      <c r="H68" s="56">
        <v>450</v>
      </c>
      <c r="I68" t="s">
        <v>9</v>
      </c>
      <c r="J68" t="s">
        <v>232</v>
      </c>
    </row>
    <row r="69" spans="1:10">
      <c r="A69" s="56">
        <v>2020</v>
      </c>
      <c r="B69" s="56" t="s">
        <v>5</v>
      </c>
      <c r="C69" s="56">
        <v>30</v>
      </c>
      <c r="D69" s="56" t="s">
        <v>43</v>
      </c>
      <c r="E69" s="56" t="s">
        <v>56</v>
      </c>
      <c r="F69" s="56" t="s">
        <v>46</v>
      </c>
      <c r="G69" s="56">
        <v>80</v>
      </c>
      <c r="H69" s="56">
        <v>2400</v>
      </c>
      <c r="I69" t="s">
        <v>9</v>
      </c>
      <c r="J69" t="s">
        <v>232</v>
      </c>
    </row>
    <row r="70" spans="1:10">
      <c r="A70" s="56">
        <v>2020</v>
      </c>
      <c r="B70" s="56" t="s">
        <v>5</v>
      </c>
      <c r="C70" s="56">
        <v>31</v>
      </c>
      <c r="D70" s="56" t="s">
        <v>42</v>
      </c>
      <c r="E70" s="56" t="s">
        <v>56</v>
      </c>
      <c r="F70" s="56" t="s">
        <v>46</v>
      </c>
      <c r="G70" s="56">
        <v>9</v>
      </c>
      <c r="H70" s="56">
        <v>279</v>
      </c>
      <c r="I70" t="s">
        <v>9</v>
      </c>
      <c r="J70" t="s">
        <v>232</v>
      </c>
    </row>
    <row r="71" spans="1:10">
      <c r="A71" s="56">
        <v>2020</v>
      </c>
      <c r="B71" s="56" t="s">
        <v>5</v>
      </c>
      <c r="C71" s="56">
        <v>31</v>
      </c>
      <c r="D71" s="56" t="s">
        <v>42</v>
      </c>
      <c r="E71" s="56" t="s">
        <v>57</v>
      </c>
      <c r="F71" s="56" t="s">
        <v>46</v>
      </c>
      <c r="G71" s="56">
        <v>1</v>
      </c>
      <c r="H71" s="56">
        <v>31</v>
      </c>
      <c r="I71" t="s">
        <v>9</v>
      </c>
      <c r="J71" t="s">
        <v>232</v>
      </c>
    </row>
    <row r="72" spans="1:10">
      <c r="A72" s="56">
        <v>2020</v>
      </c>
      <c r="B72" s="56" t="s">
        <v>5</v>
      </c>
      <c r="C72" s="56">
        <v>31</v>
      </c>
      <c r="D72" s="56" t="s">
        <v>43</v>
      </c>
      <c r="E72" s="56" t="s">
        <v>56</v>
      </c>
      <c r="F72" s="56" t="s">
        <v>46</v>
      </c>
      <c r="G72" s="56">
        <v>46</v>
      </c>
      <c r="H72" s="56">
        <v>1426</v>
      </c>
      <c r="I72" t="s">
        <v>9</v>
      </c>
      <c r="J72" t="s">
        <v>232</v>
      </c>
    </row>
    <row r="73" spans="1:10">
      <c r="A73" s="56">
        <v>2020</v>
      </c>
      <c r="B73" s="56" t="s">
        <v>5</v>
      </c>
      <c r="C73" s="56">
        <v>32</v>
      </c>
      <c r="D73" s="56" t="s">
        <v>42</v>
      </c>
      <c r="E73" s="56" t="s">
        <v>56</v>
      </c>
      <c r="F73" s="56" t="s">
        <v>46</v>
      </c>
      <c r="G73" s="56">
        <v>11</v>
      </c>
      <c r="H73" s="56">
        <v>352</v>
      </c>
      <c r="I73" t="s">
        <v>9</v>
      </c>
      <c r="J73" t="s">
        <v>232</v>
      </c>
    </row>
    <row r="74" spans="1:10">
      <c r="A74" s="56">
        <v>2020</v>
      </c>
      <c r="B74" s="56" t="s">
        <v>5</v>
      </c>
      <c r="C74" s="56">
        <v>32</v>
      </c>
      <c r="D74" s="56" t="s">
        <v>43</v>
      </c>
      <c r="E74" s="56" t="s">
        <v>56</v>
      </c>
      <c r="F74" s="56" t="s">
        <v>46</v>
      </c>
      <c r="G74" s="56">
        <v>65</v>
      </c>
      <c r="H74" s="56">
        <v>2080</v>
      </c>
      <c r="I74" t="s">
        <v>9</v>
      </c>
      <c r="J74" t="s">
        <v>232</v>
      </c>
    </row>
    <row r="75" spans="1:10">
      <c r="A75" s="56">
        <v>2020</v>
      </c>
      <c r="B75" s="56" t="s">
        <v>5</v>
      </c>
      <c r="C75" s="56">
        <v>33</v>
      </c>
      <c r="D75" s="56" t="s">
        <v>42</v>
      </c>
      <c r="E75" s="56" t="s">
        <v>56</v>
      </c>
      <c r="F75" s="56" t="s">
        <v>46</v>
      </c>
      <c r="G75" s="56">
        <v>27</v>
      </c>
      <c r="H75" s="56">
        <v>891</v>
      </c>
      <c r="I75" t="s">
        <v>9</v>
      </c>
      <c r="J75" t="s">
        <v>232</v>
      </c>
    </row>
    <row r="76" spans="1:10">
      <c r="A76" s="56">
        <v>2020</v>
      </c>
      <c r="B76" s="56" t="s">
        <v>5</v>
      </c>
      <c r="C76" s="56">
        <v>33</v>
      </c>
      <c r="D76" s="56" t="s">
        <v>42</v>
      </c>
      <c r="E76" s="56" t="s">
        <v>57</v>
      </c>
      <c r="F76" s="56" t="s">
        <v>46</v>
      </c>
      <c r="G76" s="56">
        <v>2</v>
      </c>
      <c r="H76" s="56">
        <v>66</v>
      </c>
      <c r="I76" t="s">
        <v>9</v>
      </c>
      <c r="J76" t="s">
        <v>232</v>
      </c>
    </row>
    <row r="77" spans="1:10">
      <c r="A77" s="56">
        <v>2020</v>
      </c>
      <c r="B77" s="56" t="s">
        <v>5</v>
      </c>
      <c r="C77" s="56">
        <v>33</v>
      </c>
      <c r="D77" s="56" t="s">
        <v>43</v>
      </c>
      <c r="E77" s="56" t="s">
        <v>56</v>
      </c>
      <c r="F77" s="56" t="s">
        <v>46</v>
      </c>
      <c r="G77" s="56">
        <v>74</v>
      </c>
      <c r="H77" s="56">
        <v>2442</v>
      </c>
      <c r="I77" t="s">
        <v>9</v>
      </c>
      <c r="J77" t="s">
        <v>232</v>
      </c>
    </row>
    <row r="78" spans="1:10">
      <c r="A78" s="56">
        <v>2020</v>
      </c>
      <c r="B78" s="56" t="s">
        <v>5</v>
      </c>
      <c r="C78" s="56">
        <v>34</v>
      </c>
      <c r="D78" s="56" t="s">
        <v>42</v>
      </c>
      <c r="E78" s="56" t="s">
        <v>56</v>
      </c>
      <c r="F78" s="56" t="s">
        <v>46</v>
      </c>
      <c r="G78" s="56">
        <v>12</v>
      </c>
      <c r="H78" s="56">
        <v>408</v>
      </c>
      <c r="I78" t="s">
        <v>9</v>
      </c>
      <c r="J78" t="s">
        <v>232</v>
      </c>
    </row>
    <row r="79" spans="1:10">
      <c r="A79" s="56">
        <v>2020</v>
      </c>
      <c r="B79" s="56" t="s">
        <v>5</v>
      </c>
      <c r="C79" s="56">
        <v>34</v>
      </c>
      <c r="D79" s="56" t="s">
        <v>43</v>
      </c>
      <c r="E79" s="56" t="s">
        <v>56</v>
      </c>
      <c r="F79" s="56" t="s">
        <v>46</v>
      </c>
      <c r="G79" s="56">
        <v>57</v>
      </c>
      <c r="H79" s="56">
        <v>1938</v>
      </c>
      <c r="I79" t="s">
        <v>9</v>
      </c>
      <c r="J79" t="s">
        <v>232</v>
      </c>
    </row>
    <row r="80" spans="1:10">
      <c r="A80" s="56">
        <v>2020</v>
      </c>
      <c r="B80" s="56" t="s">
        <v>5</v>
      </c>
      <c r="C80" s="56">
        <v>35</v>
      </c>
      <c r="D80" s="56" t="s">
        <v>42</v>
      </c>
      <c r="E80" s="56" t="s">
        <v>56</v>
      </c>
      <c r="F80" s="56" t="s">
        <v>47</v>
      </c>
      <c r="G80" s="56">
        <v>8</v>
      </c>
      <c r="H80" s="56">
        <v>280</v>
      </c>
      <c r="I80" t="s">
        <v>9</v>
      </c>
      <c r="J80" t="s">
        <v>232</v>
      </c>
    </row>
    <row r="81" spans="1:10">
      <c r="A81" s="56">
        <v>2020</v>
      </c>
      <c r="B81" s="56" t="s">
        <v>5</v>
      </c>
      <c r="C81" s="56">
        <v>35</v>
      </c>
      <c r="D81" s="56" t="s">
        <v>42</v>
      </c>
      <c r="E81" s="56" t="s">
        <v>57</v>
      </c>
      <c r="F81" s="56" t="s">
        <v>47</v>
      </c>
      <c r="G81" s="56">
        <v>2</v>
      </c>
      <c r="H81" s="56">
        <v>70</v>
      </c>
      <c r="I81" t="s">
        <v>9</v>
      </c>
      <c r="J81" t="s">
        <v>232</v>
      </c>
    </row>
    <row r="82" spans="1:10">
      <c r="A82" s="56">
        <v>2020</v>
      </c>
      <c r="B82" s="56" t="s">
        <v>5</v>
      </c>
      <c r="C82" s="56">
        <v>35</v>
      </c>
      <c r="D82" s="56" t="s">
        <v>43</v>
      </c>
      <c r="E82" s="56" t="s">
        <v>56</v>
      </c>
      <c r="F82" s="56" t="s">
        <v>47</v>
      </c>
      <c r="G82" s="56">
        <v>69</v>
      </c>
      <c r="H82" s="56">
        <v>2415</v>
      </c>
      <c r="I82" t="s">
        <v>9</v>
      </c>
      <c r="J82" t="s">
        <v>232</v>
      </c>
    </row>
    <row r="83" spans="1:10">
      <c r="A83" s="56">
        <v>2020</v>
      </c>
      <c r="B83" s="56" t="s">
        <v>5</v>
      </c>
      <c r="C83" s="56">
        <v>36</v>
      </c>
      <c r="D83" s="56" t="s">
        <v>42</v>
      </c>
      <c r="E83" s="56" t="s">
        <v>56</v>
      </c>
      <c r="F83" s="56" t="s">
        <v>47</v>
      </c>
      <c r="G83" s="56">
        <v>2</v>
      </c>
      <c r="H83" s="56">
        <v>72</v>
      </c>
      <c r="I83" t="s">
        <v>9</v>
      </c>
      <c r="J83" t="s">
        <v>232</v>
      </c>
    </row>
    <row r="84" spans="1:10">
      <c r="A84" s="56">
        <v>2020</v>
      </c>
      <c r="B84" s="56" t="s">
        <v>5</v>
      </c>
      <c r="C84" s="56">
        <v>36</v>
      </c>
      <c r="D84" s="56" t="s">
        <v>42</v>
      </c>
      <c r="E84" s="56" t="s">
        <v>57</v>
      </c>
      <c r="F84" s="56" t="s">
        <v>47</v>
      </c>
      <c r="G84" s="56">
        <v>2</v>
      </c>
      <c r="H84" s="56">
        <v>72</v>
      </c>
      <c r="I84" t="s">
        <v>9</v>
      </c>
      <c r="J84" t="s">
        <v>232</v>
      </c>
    </row>
    <row r="85" spans="1:10">
      <c r="A85" s="56">
        <v>2020</v>
      </c>
      <c r="B85" s="56" t="s">
        <v>5</v>
      </c>
      <c r="C85" s="56">
        <v>36</v>
      </c>
      <c r="D85" s="56" t="s">
        <v>43</v>
      </c>
      <c r="E85" s="56" t="s">
        <v>56</v>
      </c>
      <c r="F85" s="56" t="s">
        <v>47</v>
      </c>
      <c r="G85" s="56">
        <v>53</v>
      </c>
      <c r="H85" s="56">
        <v>1908</v>
      </c>
      <c r="I85" t="s">
        <v>9</v>
      </c>
      <c r="J85" t="s">
        <v>232</v>
      </c>
    </row>
    <row r="86" spans="1:10">
      <c r="A86" s="56">
        <v>2020</v>
      </c>
      <c r="B86" s="56" t="s">
        <v>5</v>
      </c>
      <c r="C86" s="56">
        <v>37</v>
      </c>
      <c r="D86" s="56" t="s">
        <v>42</v>
      </c>
      <c r="E86" s="56" t="s">
        <v>56</v>
      </c>
      <c r="F86" s="56" t="s">
        <v>47</v>
      </c>
      <c r="G86" s="56">
        <v>9</v>
      </c>
      <c r="H86" s="56">
        <v>333</v>
      </c>
      <c r="I86" t="s">
        <v>9</v>
      </c>
      <c r="J86" t="s">
        <v>232</v>
      </c>
    </row>
    <row r="87" spans="1:10">
      <c r="A87" s="56">
        <v>2020</v>
      </c>
      <c r="B87" s="56" t="s">
        <v>5</v>
      </c>
      <c r="C87" s="56">
        <v>37</v>
      </c>
      <c r="D87" s="56" t="s">
        <v>43</v>
      </c>
      <c r="E87" s="56" t="s">
        <v>56</v>
      </c>
      <c r="F87" s="56" t="s">
        <v>47</v>
      </c>
      <c r="G87" s="56">
        <v>65</v>
      </c>
      <c r="H87" s="56">
        <v>2405</v>
      </c>
      <c r="I87" t="s">
        <v>9</v>
      </c>
      <c r="J87" t="s">
        <v>232</v>
      </c>
    </row>
    <row r="88" spans="1:10">
      <c r="A88" s="56">
        <v>2020</v>
      </c>
      <c r="B88" s="56" t="s">
        <v>5</v>
      </c>
      <c r="C88" s="56">
        <v>38</v>
      </c>
      <c r="D88" s="56" t="s">
        <v>42</v>
      </c>
      <c r="E88" s="56" t="s">
        <v>56</v>
      </c>
      <c r="F88" s="56" t="s">
        <v>47</v>
      </c>
      <c r="G88" s="56">
        <v>3</v>
      </c>
      <c r="H88" s="56">
        <v>114</v>
      </c>
      <c r="I88" t="s">
        <v>9</v>
      </c>
      <c r="J88" t="s">
        <v>232</v>
      </c>
    </row>
    <row r="89" spans="1:10">
      <c r="A89" s="56">
        <v>2020</v>
      </c>
      <c r="B89" s="56" t="s">
        <v>5</v>
      </c>
      <c r="C89" s="56">
        <v>38</v>
      </c>
      <c r="D89" s="56" t="s">
        <v>43</v>
      </c>
      <c r="E89" s="56" t="s">
        <v>56</v>
      </c>
      <c r="F89" s="56" t="s">
        <v>47</v>
      </c>
      <c r="G89" s="56">
        <v>62</v>
      </c>
      <c r="H89" s="56">
        <v>2356</v>
      </c>
      <c r="I89" t="s">
        <v>9</v>
      </c>
      <c r="J89" t="s">
        <v>232</v>
      </c>
    </row>
    <row r="90" spans="1:10">
      <c r="A90" s="56">
        <v>2020</v>
      </c>
      <c r="B90" s="56" t="s">
        <v>5</v>
      </c>
      <c r="C90" s="56">
        <v>39</v>
      </c>
      <c r="D90" s="56" t="s">
        <v>42</v>
      </c>
      <c r="E90" s="56" t="s">
        <v>56</v>
      </c>
      <c r="F90" s="56" t="s">
        <v>47</v>
      </c>
      <c r="G90" s="56">
        <v>5</v>
      </c>
      <c r="H90" s="56">
        <v>195</v>
      </c>
      <c r="I90" t="s">
        <v>9</v>
      </c>
      <c r="J90" t="s">
        <v>232</v>
      </c>
    </row>
    <row r="91" spans="1:10">
      <c r="A91" s="56">
        <v>2020</v>
      </c>
      <c r="B91" s="56" t="s">
        <v>5</v>
      </c>
      <c r="C91" s="56">
        <v>39</v>
      </c>
      <c r="D91" s="56" t="s">
        <v>42</v>
      </c>
      <c r="E91" s="56" t="s">
        <v>57</v>
      </c>
      <c r="F91" s="56" t="s">
        <v>47</v>
      </c>
      <c r="G91" s="56">
        <v>2</v>
      </c>
      <c r="H91" s="56">
        <v>78</v>
      </c>
      <c r="I91" t="s">
        <v>9</v>
      </c>
      <c r="J91" t="s">
        <v>232</v>
      </c>
    </row>
    <row r="92" spans="1:10">
      <c r="A92" s="56">
        <v>2020</v>
      </c>
      <c r="B92" s="56" t="s">
        <v>5</v>
      </c>
      <c r="C92" s="56">
        <v>39</v>
      </c>
      <c r="D92" s="56" t="s">
        <v>43</v>
      </c>
      <c r="E92" s="56" t="s">
        <v>56</v>
      </c>
      <c r="F92" s="56" t="s">
        <v>47</v>
      </c>
      <c r="G92" s="56">
        <v>61</v>
      </c>
      <c r="H92" s="56">
        <v>2379</v>
      </c>
      <c r="I92" t="s">
        <v>9</v>
      </c>
      <c r="J92" t="s">
        <v>232</v>
      </c>
    </row>
    <row r="93" spans="1:10">
      <c r="A93" s="56">
        <v>2020</v>
      </c>
      <c r="B93" s="56" t="s">
        <v>5</v>
      </c>
      <c r="C93" s="56">
        <v>40</v>
      </c>
      <c r="D93" s="56" t="s">
        <v>42</v>
      </c>
      <c r="E93" s="56" t="s">
        <v>56</v>
      </c>
      <c r="F93" s="56" t="s">
        <v>48</v>
      </c>
      <c r="G93" s="56">
        <v>1</v>
      </c>
      <c r="H93" s="56">
        <v>40</v>
      </c>
      <c r="I93" t="s">
        <v>9</v>
      </c>
      <c r="J93" t="s">
        <v>232</v>
      </c>
    </row>
    <row r="94" spans="1:10">
      <c r="A94" s="56">
        <v>2020</v>
      </c>
      <c r="B94" s="56" t="s">
        <v>5</v>
      </c>
      <c r="C94" s="56">
        <v>40</v>
      </c>
      <c r="D94" s="56" t="s">
        <v>43</v>
      </c>
      <c r="E94" s="56" t="s">
        <v>56</v>
      </c>
      <c r="F94" s="56" t="s">
        <v>48</v>
      </c>
      <c r="G94" s="56">
        <v>59</v>
      </c>
      <c r="H94" s="56">
        <v>2360</v>
      </c>
      <c r="I94" t="s">
        <v>9</v>
      </c>
      <c r="J94" t="s">
        <v>232</v>
      </c>
    </row>
    <row r="95" spans="1:10">
      <c r="A95" s="56">
        <v>2020</v>
      </c>
      <c r="B95" s="56" t="s">
        <v>5</v>
      </c>
      <c r="C95" s="56">
        <v>41</v>
      </c>
      <c r="D95" s="56" t="s">
        <v>42</v>
      </c>
      <c r="E95" s="56" t="s">
        <v>56</v>
      </c>
      <c r="F95" s="56" t="s">
        <v>48</v>
      </c>
      <c r="G95" s="56">
        <v>3</v>
      </c>
      <c r="H95" s="56">
        <v>123</v>
      </c>
      <c r="I95" t="s">
        <v>9</v>
      </c>
      <c r="J95" t="s">
        <v>232</v>
      </c>
    </row>
    <row r="96" spans="1:10">
      <c r="A96" s="56">
        <v>2020</v>
      </c>
      <c r="B96" s="56" t="s">
        <v>5</v>
      </c>
      <c r="C96" s="56">
        <v>41</v>
      </c>
      <c r="D96" s="56" t="s">
        <v>43</v>
      </c>
      <c r="E96" s="56" t="s">
        <v>56</v>
      </c>
      <c r="F96" s="56" t="s">
        <v>48</v>
      </c>
      <c r="G96" s="56">
        <v>57</v>
      </c>
      <c r="H96" s="56">
        <v>2337</v>
      </c>
      <c r="I96" t="s">
        <v>9</v>
      </c>
      <c r="J96" t="s">
        <v>232</v>
      </c>
    </row>
    <row r="97" spans="1:10">
      <c r="A97" s="56">
        <v>2020</v>
      </c>
      <c r="B97" s="56" t="s">
        <v>5</v>
      </c>
      <c r="C97" s="56">
        <v>41</v>
      </c>
      <c r="D97" s="56" t="s">
        <v>43</v>
      </c>
      <c r="E97" s="56" t="s">
        <v>57</v>
      </c>
      <c r="F97" s="56" t="s">
        <v>48</v>
      </c>
      <c r="G97" s="56">
        <v>1</v>
      </c>
      <c r="H97" s="56">
        <v>41</v>
      </c>
      <c r="I97" t="s">
        <v>9</v>
      </c>
      <c r="J97" t="s">
        <v>232</v>
      </c>
    </row>
    <row r="98" spans="1:10">
      <c r="A98" s="56">
        <v>2020</v>
      </c>
      <c r="B98" s="56" t="s">
        <v>5</v>
      </c>
      <c r="C98" s="56">
        <v>42</v>
      </c>
      <c r="D98" s="56" t="s">
        <v>42</v>
      </c>
      <c r="E98" s="56" t="s">
        <v>56</v>
      </c>
      <c r="F98" s="56" t="s">
        <v>48</v>
      </c>
      <c r="G98" s="56">
        <v>5</v>
      </c>
      <c r="H98" s="56">
        <v>210</v>
      </c>
      <c r="I98" t="s">
        <v>9</v>
      </c>
      <c r="J98" t="s">
        <v>232</v>
      </c>
    </row>
    <row r="99" spans="1:10">
      <c r="A99" s="56">
        <v>2020</v>
      </c>
      <c r="B99" s="56" t="s">
        <v>5</v>
      </c>
      <c r="C99" s="56">
        <v>42</v>
      </c>
      <c r="D99" s="56" t="s">
        <v>42</v>
      </c>
      <c r="E99" s="56" t="s">
        <v>57</v>
      </c>
      <c r="F99" s="56" t="s">
        <v>48</v>
      </c>
      <c r="G99" s="56">
        <v>5</v>
      </c>
      <c r="H99" s="56">
        <v>210</v>
      </c>
      <c r="I99" t="s">
        <v>9</v>
      </c>
      <c r="J99" t="s">
        <v>232</v>
      </c>
    </row>
    <row r="100" spans="1:10">
      <c r="A100" s="56">
        <v>2020</v>
      </c>
      <c r="B100" s="56" t="s">
        <v>5</v>
      </c>
      <c r="C100" s="56">
        <v>42</v>
      </c>
      <c r="D100" s="56" t="s">
        <v>43</v>
      </c>
      <c r="E100" s="56" t="s">
        <v>56</v>
      </c>
      <c r="F100" s="56" t="s">
        <v>48</v>
      </c>
      <c r="G100" s="56">
        <v>52</v>
      </c>
      <c r="H100" s="56">
        <v>2184</v>
      </c>
      <c r="I100" t="s">
        <v>9</v>
      </c>
      <c r="J100" t="s">
        <v>232</v>
      </c>
    </row>
    <row r="101" spans="1:10">
      <c r="A101" s="56">
        <v>2020</v>
      </c>
      <c r="B101" s="56" t="s">
        <v>5</v>
      </c>
      <c r="C101" s="56">
        <v>43</v>
      </c>
      <c r="D101" s="56" t="s">
        <v>42</v>
      </c>
      <c r="E101" s="56" t="s">
        <v>56</v>
      </c>
      <c r="F101" s="56" t="s">
        <v>48</v>
      </c>
      <c r="G101" s="56">
        <v>4</v>
      </c>
      <c r="H101" s="56">
        <v>172</v>
      </c>
      <c r="I101" t="s">
        <v>9</v>
      </c>
      <c r="J101" t="s">
        <v>232</v>
      </c>
    </row>
    <row r="102" spans="1:10">
      <c r="A102" s="56">
        <v>2020</v>
      </c>
      <c r="B102" s="56" t="s">
        <v>5</v>
      </c>
      <c r="C102" s="56">
        <v>43</v>
      </c>
      <c r="D102" s="56" t="s">
        <v>42</v>
      </c>
      <c r="E102" s="56" t="s">
        <v>57</v>
      </c>
      <c r="F102" s="56" t="s">
        <v>48</v>
      </c>
      <c r="G102" s="56">
        <v>1</v>
      </c>
      <c r="H102" s="56">
        <v>43</v>
      </c>
      <c r="I102" t="s">
        <v>9</v>
      </c>
      <c r="J102" t="s">
        <v>232</v>
      </c>
    </row>
    <row r="103" spans="1:10">
      <c r="A103" s="56">
        <v>2020</v>
      </c>
      <c r="B103" s="56" t="s">
        <v>5</v>
      </c>
      <c r="C103" s="56">
        <v>43</v>
      </c>
      <c r="D103" s="56" t="s">
        <v>43</v>
      </c>
      <c r="E103" s="56" t="s">
        <v>56</v>
      </c>
      <c r="F103" s="56" t="s">
        <v>48</v>
      </c>
      <c r="G103" s="56">
        <v>31</v>
      </c>
      <c r="H103" s="56">
        <v>1333</v>
      </c>
      <c r="I103" t="s">
        <v>9</v>
      </c>
      <c r="J103" t="s">
        <v>232</v>
      </c>
    </row>
    <row r="104" spans="1:10">
      <c r="A104" s="56">
        <v>2020</v>
      </c>
      <c r="B104" s="56" t="s">
        <v>5</v>
      </c>
      <c r="C104" s="56">
        <v>44</v>
      </c>
      <c r="D104" s="56" t="s">
        <v>42</v>
      </c>
      <c r="E104" s="56" t="s">
        <v>56</v>
      </c>
      <c r="F104" s="56" t="s">
        <v>48</v>
      </c>
      <c r="G104" s="56">
        <v>3</v>
      </c>
      <c r="H104" s="56">
        <v>132</v>
      </c>
      <c r="I104" t="s">
        <v>9</v>
      </c>
      <c r="J104" t="s">
        <v>232</v>
      </c>
    </row>
    <row r="105" spans="1:10">
      <c r="A105" s="56">
        <v>2020</v>
      </c>
      <c r="B105" s="56" t="s">
        <v>5</v>
      </c>
      <c r="C105" s="56">
        <v>44</v>
      </c>
      <c r="D105" s="56" t="s">
        <v>43</v>
      </c>
      <c r="E105" s="56" t="s">
        <v>56</v>
      </c>
      <c r="F105" s="56" t="s">
        <v>48</v>
      </c>
      <c r="G105" s="56">
        <v>44</v>
      </c>
      <c r="H105" s="56">
        <v>1936</v>
      </c>
      <c r="I105" t="s">
        <v>9</v>
      </c>
      <c r="J105" t="s">
        <v>232</v>
      </c>
    </row>
    <row r="106" spans="1:10">
      <c r="A106" s="56">
        <v>2020</v>
      </c>
      <c r="B106" s="56" t="s">
        <v>5</v>
      </c>
      <c r="C106" s="56">
        <v>45</v>
      </c>
      <c r="D106" s="56" t="s">
        <v>42</v>
      </c>
      <c r="E106" s="56" t="s">
        <v>56</v>
      </c>
      <c r="F106" s="56" t="s">
        <v>49</v>
      </c>
      <c r="G106" s="56">
        <v>5</v>
      </c>
      <c r="H106" s="56">
        <v>225</v>
      </c>
      <c r="I106" t="s">
        <v>9</v>
      </c>
      <c r="J106" t="s">
        <v>232</v>
      </c>
    </row>
    <row r="107" spans="1:10">
      <c r="A107" s="56">
        <v>2020</v>
      </c>
      <c r="B107" s="56" t="s">
        <v>5</v>
      </c>
      <c r="C107" s="56">
        <v>45</v>
      </c>
      <c r="D107" s="56" t="s">
        <v>42</v>
      </c>
      <c r="E107" s="56" t="s">
        <v>57</v>
      </c>
      <c r="F107" s="56" t="s">
        <v>49</v>
      </c>
      <c r="G107" s="56">
        <v>2</v>
      </c>
      <c r="H107" s="56">
        <v>90</v>
      </c>
      <c r="I107" t="s">
        <v>9</v>
      </c>
      <c r="J107" t="s">
        <v>232</v>
      </c>
    </row>
    <row r="108" spans="1:10">
      <c r="A108" s="56">
        <v>2020</v>
      </c>
      <c r="B108" s="56" t="s">
        <v>5</v>
      </c>
      <c r="C108" s="56">
        <v>45</v>
      </c>
      <c r="D108" s="56" t="s">
        <v>43</v>
      </c>
      <c r="E108" s="56" t="s">
        <v>56</v>
      </c>
      <c r="F108" s="56" t="s">
        <v>49</v>
      </c>
      <c r="G108" s="56">
        <v>40</v>
      </c>
      <c r="H108" s="56">
        <v>1800</v>
      </c>
      <c r="I108" t="s">
        <v>9</v>
      </c>
      <c r="J108" t="s">
        <v>232</v>
      </c>
    </row>
    <row r="109" spans="1:10">
      <c r="A109" s="56">
        <v>2020</v>
      </c>
      <c r="B109" s="56" t="s">
        <v>5</v>
      </c>
      <c r="C109" s="56">
        <v>46</v>
      </c>
      <c r="D109" s="56" t="s">
        <v>42</v>
      </c>
      <c r="E109" s="56" t="s">
        <v>56</v>
      </c>
      <c r="F109" s="56" t="s">
        <v>49</v>
      </c>
      <c r="G109" s="56">
        <v>5</v>
      </c>
      <c r="H109" s="56">
        <v>230</v>
      </c>
      <c r="I109" t="s">
        <v>9</v>
      </c>
      <c r="J109" t="s">
        <v>232</v>
      </c>
    </row>
    <row r="110" spans="1:10">
      <c r="A110" s="56">
        <v>2020</v>
      </c>
      <c r="B110" s="56" t="s">
        <v>5</v>
      </c>
      <c r="C110" s="56">
        <v>46</v>
      </c>
      <c r="D110" s="56" t="s">
        <v>43</v>
      </c>
      <c r="E110" s="56" t="s">
        <v>56</v>
      </c>
      <c r="F110" s="56" t="s">
        <v>49</v>
      </c>
      <c r="G110" s="56">
        <v>44</v>
      </c>
      <c r="H110" s="56">
        <v>2024</v>
      </c>
      <c r="I110" t="s">
        <v>9</v>
      </c>
      <c r="J110" t="s">
        <v>232</v>
      </c>
    </row>
    <row r="111" spans="1:10">
      <c r="A111" s="56">
        <v>2020</v>
      </c>
      <c r="B111" s="56" t="s">
        <v>5</v>
      </c>
      <c r="C111" s="56">
        <v>47</v>
      </c>
      <c r="D111" s="56" t="s">
        <v>42</v>
      </c>
      <c r="E111" s="56" t="s">
        <v>56</v>
      </c>
      <c r="F111" s="56" t="s">
        <v>49</v>
      </c>
      <c r="G111" s="56">
        <v>2</v>
      </c>
      <c r="H111" s="56">
        <v>94</v>
      </c>
      <c r="I111" t="s">
        <v>9</v>
      </c>
      <c r="J111" t="s">
        <v>232</v>
      </c>
    </row>
    <row r="112" spans="1:10">
      <c r="A112" s="56">
        <v>2020</v>
      </c>
      <c r="B112" s="56" t="s">
        <v>5</v>
      </c>
      <c r="C112" s="56">
        <v>47</v>
      </c>
      <c r="D112" s="56" t="s">
        <v>42</v>
      </c>
      <c r="E112" s="56" t="s">
        <v>57</v>
      </c>
      <c r="F112" s="56" t="s">
        <v>49</v>
      </c>
      <c r="G112" s="56">
        <v>1</v>
      </c>
      <c r="H112" s="56">
        <v>47</v>
      </c>
      <c r="I112" t="s">
        <v>9</v>
      </c>
      <c r="J112" t="s">
        <v>232</v>
      </c>
    </row>
    <row r="113" spans="1:10">
      <c r="A113" s="56">
        <v>2020</v>
      </c>
      <c r="B113" s="56" t="s">
        <v>5</v>
      </c>
      <c r="C113" s="56">
        <v>47</v>
      </c>
      <c r="D113" s="56" t="s">
        <v>43</v>
      </c>
      <c r="E113" s="56" t="s">
        <v>56</v>
      </c>
      <c r="F113" s="56" t="s">
        <v>49</v>
      </c>
      <c r="G113" s="56">
        <v>44</v>
      </c>
      <c r="H113" s="56">
        <v>2068</v>
      </c>
      <c r="I113" t="s">
        <v>9</v>
      </c>
      <c r="J113" t="s">
        <v>232</v>
      </c>
    </row>
    <row r="114" spans="1:10">
      <c r="A114" s="56">
        <v>2020</v>
      </c>
      <c r="B114" s="56" t="s">
        <v>5</v>
      </c>
      <c r="C114" s="56">
        <v>48</v>
      </c>
      <c r="D114" s="56" t="s">
        <v>42</v>
      </c>
      <c r="E114" s="56" t="s">
        <v>56</v>
      </c>
      <c r="F114" s="56" t="s">
        <v>49</v>
      </c>
      <c r="G114" s="56">
        <v>6</v>
      </c>
      <c r="H114" s="56">
        <v>288</v>
      </c>
      <c r="I114" t="s">
        <v>9</v>
      </c>
      <c r="J114" t="s">
        <v>232</v>
      </c>
    </row>
    <row r="115" spans="1:10">
      <c r="A115" s="56">
        <v>2020</v>
      </c>
      <c r="B115" s="56" t="s">
        <v>5</v>
      </c>
      <c r="C115" s="56">
        <v>48</v>
      </c>
      <c r="D115" s="56" t="s">
        <v>42</v>
      </c>
      <c r="E115" s="56" t="s">
        <v>57</v>
      </c>
      <c r="F115" s="56" t="s">
        <v>49</v>
      </c>
      <c r="G115" s="56">
        <v>1</v>
      </c>
      <c r="H115" s="56">
        <v>48</v>
      </c>
      <c r="I115" t="s">
        <v>9</v>
      </c>
      <c r="J115" t="s">
        <v>232</v>
      </c>
    </row>
    <row r="116" spans="1:10">
      <c r="A116" s="56">
        <v>2020</v>
      </c>
      <c r="B116" s="56" t="s">
        <v>5</v>
      </c>
      <c r="C116" s="56">
        <v>48</v>
      </c>
      <c r="D116" s="56" t="s">
        <v>43</v>
      </c>
      <c r="E116" s="56" t="s">
        <v>56</v>
      </c>
      <c r="F116" s="56" t="s">
        <v>49</v>
      </c>
      <c r="G116" s="56">
        <v>48</v>
      </c>
      <c r="H116" s="56">
        <v>2304</v>
      </c>
      <c r="I116" t="s">
        <v>9</v>
      </c>
      <c r="J116" t="s">
        <v>232</v>
      </c>
    </row>
    <row r="117" spans="1:10">
      <c r="A117" s="56">
        <v>2020</v>
      </c>
      <c r="B117" s="56" t="s">
        <v>5</v>
      </c>
      <c r="C117" s="56">
        <v>49</v>
      </c>
      <c r="D117" s="56" t="s">
        <v>42</v>
      </c>
      <c r="E117" s="56" t="s">
        <v>56</v>
      </c>
      <c r="F117" s="56" t="s">
        <v>49</v>
      </c>
      <c r="G117" s="56">
        <v>3</v>
      </c>
      <c r="H117" s="56">
        <v>147</v>
      </c>
      <c r="I117" t="s">
        <v>9</v>
      </c>
      <c r="J117" t="s">
        <v>232</v>
      </c>
    </row>
    <row r="118" spans="1:10">
      <c r="A118" s="56">
        <v>2020</v>
      </c>
      <c r="B118" s="56" t="s">
        <v>5</v>
      </c>
      <c r="C118" s="56">
        <v>49</v>
      </c>
      <c r="D118" s="56" t="s">
        <v>42</v>
      </c>
      <c r="E118" s="56" t="s">
        <v>57</v>
      </c>
      <c r="F118" s="56" t="s">
        <v>49</v>
      </c>
      <c r="G118" s="56">
        <v>1</v>
      </c>
      <c r="H118" s="56">
        <v>49</v>
      </c>
      <c r="I118" t="s">
        <v>9</v>
      </c>
      <c r="J118" t="s">
        <v>232</v>
      </c>
    </row>
    <row r="119" spans="1:10">
      <c r="A119" s="56">
        <v>2020</v>
      </c>
      <c r="B119" s="56" t="s">
        <v>5</v>
      </c>
      <c r="C119" s="56">
        <v>49</v>
      </c>
      <c r="D119" s="56" t="s">
        <v>43</v>
      </c>
      <c r="E119" s="56" t="s">
        <v>56</v>
      </c>
      <c r="F119" s="56" t="s">
        <v>49</v>
      </c>
      <c r="G119" s="56">
        <v>60</v>
      </c>
      <c r="H119" s="56">
        <v>2940</v>
      </c>
      <c r="I119" t="s">
        <v>9</v>
      </c>
      <c r="J119" t="s">
        <v>232</v>
      </c>
    </row>
    <row r="120" spans="1:10">
      <c r="A120" s="56">
        <v>2020</v>
      </c>
      <c r="B120" s="56" t="s">
        <v>5</v>
      </c>
      <c r="C120" s="56">
        <v>50</v>
      </c>
      <c r="D120" s="56" t="s">
        <v>42</v>
      </c>
      <c r="E120" s="56" t="s">
        <v>56</v>
      </c>
      <c r="F120" s="56" t="s">
        <v>50</v>
      </c>
      <c r="G120" s="56">
        <v>1</v>
      </c>
      <c r="H120" s="56">
        <v>50</v>
      </c>
      <c r="I120" t="s">
        <v>9</v>
      </c>
      <c r="J120" t="s">
        <v>232</v>
      </c>
    </row>
    <row r="121" spans="1:10">
      <c r="A121" s="56">
        <v>2020</v>
      </c>
      <c r="B121" s="56" t="s">
        <v>5</v>
      </c>
      <c r="C121" s="56">
        <v>50</v>
      </c>
      <c r="D121" s="56" t="s">
        <v>42</v>
      </c>
      <c r="E121" s="56" t="s">
        <v>57</v>
      </c>
      <c r="F121" s="56" t="s">
        <v>50</v>
      </c>
      <c r="G121" s="56">
        <v>1</v>
      </c>
      <c r="H121" s="56">
        <v>50</v>
      </c>
      <c r="I121" t="s">
        <v>9</v>
      </c>
      <c r="J121" t="s">
        <v>232</v>
      </c>
    </row>
    <row r="122" spans="1:10">
      <c r="A122" s="56">
        <v>2020</v>
      </c>
      <c r="B122" s="56" t="s">
        <v>5</v>
      </c>
      <c r="C122" s="56">
        <v>50</v>
      </c>
      <c r="D122" s="56" t="s">
        <v>43</v>
      </c>
      <c r="E122" s="56" t="s">
        <v>56</v>
      </c>
      <c r="F122" s="56" t="s">
        <v>50</v>
      </c>
      <c r="G122" s="56">
        <v>59</v>
      </c>
      <c r="H122" s="56">
        <v>2950</v>
      </c>
      <c r="I122" t="s">
        <v>9</v>
      </c>
      <c r="J122" t="s">
        <v>232</v>
      </c>
    </row>
    <row r="123" spans="1:10">
      <c r="A123" s="56">
        <v>2020</v>
      </c>
      <c r="B123" s="56" t="s">
        <v>5</v>
      </c>
      <c r="C123" s="56">
        <v>51</v>
      </c>
      <c r="D123" s="56" t="s">
        <v>42</v>
      </c>
      <c r="E123" s="56" t="s">
        <v>56</v>
      </c>
      <c r="F123" s="56" t="s">
        <v>50</v>
      </c>
      <c r="G123" s="56">
        <v>1</v>
      </c>
      <c r="H123" s="56">
        <v>51</v>
      </c>
      <c r="I123" t="s">
        <v>9</v>
      </c>
      <c r="J123" t="s">
        <v>232</v>
      </c>
    </row>
    <row r="124" spans="1:10">
      <c r="A124" s="56">
        <v>2020</v>
      </c>
      <c r="B124" s="56" t="s">
        <v>5</v>
      </c>
      <c r="C124" s="56">
        <v>51</v>
      </c>
      <c r="D124" s="56" t="s">
        <v>42</v>
      </c>
      <c r="E124" s="56" t="s">
        <v>57</v>
      </c>
      <c r="F124" s="56" t="s">
        <v>50</v>
      </c>
      <c r="G124" s="56">
        <v>1</v>
      </c>
      <c r="H124" s="56">
        <v>51</v>
      </c>
      <c r="I124" t="s">
        <v>9</v>
      </c>
      <c r="J124" t="s">
        <v>232</v>
      </c>
    </row>
    <row r="125" spans="1:10">
      <c r="A125" s="56">
        <v>2020</v>
      </c>
      <c r="B125" s="56" t="s">
        <v>5</v>
      </c>
      <c r="C125" s="56">
        <v>51</v>
      </c>
      <c r="D125" s="56" t="s">
        <v>43</v>
      </c>
      <c r="E125" s="56" t="s">
        <v>56</v>
      </c>
      <c r="F125" s="56" t="s">
        <v>50</v>
      </c>
      <c r="G125" s="56">
        <v>60</v>
      </c>
      <c r="H125" s="56">
        <v>3060</v>
      </c>
      <c r="I125" t="s">
        <v>9</v>
      </c>
      <c r="J125" t="s">
        <v>232</v>
      </c>
    </row>
    <row r="126" spans="1:10">
      <c r="A126" s="56">
        <v>2020</v>
      </c>
      <c r="B126" s="56" t="s">
        <v>5</v>
      </c>
      <c r="C126" s="56">
        <v>52</v>
      </c>
      <c r="D126" s="56" t="s">
        <v>43</v>
      </c>
      <c r="E126" s="56" t="s">
        <v>56</v>
      </c>
      <c r="F126" s="56" t="s">
        <v>50</v>
      </c>
      <c r="G126" s="56">
        <v>51</v>
      </c>
      <c r="H126" s="56">
        <v>2652</v>
      </c>
      <c r="I126" t="s">
        <v>9</v>
      </c>
      <c r="J126" t="s">
        <v>232</v>
      </c>
    </row>
    <row r="127" spans="1:10">
      <c r="A127" s="56">
        <v>2020</v>
      </c>
      <c r="B127" s="56" t="s">
        <v>5</v>
      </c>
      <c r="C127" s="56">
        <v>53</v>
      </c>
      <c r="D127" s="56" t="s">
        <v>42</v>
      </c>
      <c r="E127" s="56" t="s">
        <v>56</v>
      </c>
      <c r="F127" s="56" t="s">
        <v>50</v>
      </c>
      <c r="G127" s="56">
        <v>4</v>
      </c>
      <c r="H127" s="56">
        <v>212</v>
      </c>
      <c r="I127" t="s">
        <v>9</v>
      </c>
      <c r="J127" t="s">
        <v>232</v>
      </c>
    </row>
    <row r="128" spans="1:10">
      <c r="A128" s="56">
        <v>2020</v>
      </c>
      <c r="B128" s="56" t="s">
        <v>5</v>
      </c>
      <c r="C128" s="56">
        <v>53</v>
      </c>
      <c r="D128" s="56" t="s">
        <v>43</v>
      </c>
      <c r="E128" s="56" t="s">
        <v>56</v>
      </c>
      <c r="F128" s="56" t="s">
        <v>50</v>
      </c>
      <c r="G128" s="56">
        <v>66</v>
      </c>
      <c r="H128" s="56">
        <v>3498</v>
      </c>
      <c r="I128" t="s">
        <v>9</v>
      </c>
      <c r="J128" t="s">
        <v>232</v>
      </c>
    </row>
    <row r="129" spans="1:10">
      <c r="A129" s="56">
        <v>2020</v>
      </c>
      <c r="B129" s="56" t="s">
        <v>5</v>
      </c>
      <c r="C129" s="56">
        <v>54</v>
      </c>
      <c r="D129" s="56" t="s">
        <v>42</v>
      </c>
      <c r="E129" s="56" t="s">
        <v>56</v>
      </c>
      <c r="F129" s="56" t="s">
        <v>50</v>
      </c>
      <c r="G129" s="56">
        <v>6</v>
      </c>
      <c r="H129" s="56">
        <v>324</v>
      </c>
      <c r="I129" t="s">
        <v>9</v>
      </c>
      <c r="J129" t="s">
        <v>232</v>
      </c>
    </row>
    <row r="130" spans="1:10">
      <c r="A130" s="56">
        <v>2020</v>
      </c>
      <c r="B130" s="56" t="s">
        <v>5</v>
      </c>
      <c r="C130" s="56">
        <v>54</v>
      </c>
      <c r="D130" s="56" t="s">
        <v>42</v>
      </c>
      <c r="E130" s="56" t="s">
        <v>57</v>
      </c>
      <c r="F130" s="56" t="s">
        <v>50</v>
      </c>
      <c r="G130" s="56">
        <v>1</v>
      </c>
      <c r="H130" s="56">
        <v>54</v>
      </c>
      <c r="I130" t="s">
        <v>9</v>
      </c>
      <c r="J130" t="s">
        <v>232</v>
      </c>
    </row>
    <row r="131" spans="1:10">
      <c r="A131" s="56">
        <v>2020</v>
      </c>
      <c r="B131" s="56" t="s">
        <v>5</v>
      </c>
      <c r="C131" s="56">
        <v>54</v>
      </c>
      <c r="D131" s="56" t="s">
        <v>43</v>
      </c>
      <c r="E131" s="56" t="s">
        <v>56</v>
      </c>
      <c r="F131" s="56" t="s">
        <v>50</v>
      </c>
      <c r="G131" s="56">
        <v>47</v>
      </c>
      <c r="H131" s="56">
        <v>2538</v>
      </c>
      <c r="I131" t="s">
        <v>9</v>
      </c>
      <c r="J131" t="s">
        <v>232</v>
      </c>
    </row>
    <row r="132" spans="1:10">
      <c r="A132" s="56">
        <v>2020</v>
      </c>
      <c r="B132" s="56" t="s">
        <v>5</v>
      </c>
      <c r="C132" s="56">
        <v>55</v>
      </c>
      <c r="D132" s="56" t="s">
        <v>42</v>
      </c>
      <c r="E132" s="56" t="s">
        <v>56</v>
      </c>
      <c r="F132" s="56" t="s">
        <v>51</v>
      </c>
      <c r="G132" s="56">
        <v>1</v>
      </c>
      <c r="H132" s="56">
        <v>55</v>
      </c>
      <c r="I132" t="s">
        <v>9</v>
      </c>
      <c r="J132" t="s">
        <v>232</v>
      </c>
    </row>
    <row r="133" spans="1:10">
      <c r="A133" s="56">
        <v>2020</v>
      </c>
      <c r="B133" s="56" t="s">
        <v>5</v>
      </c>
      <c r="C133" s="56">
        <v>55</v>
      </c>
      <c r="D133" s="56" t="s">
        <v>43</v>
      </c>
      <c r="E133" s="56" t="s">
        <v>56</v>
      </c>
      <c r="F133" s="56" t="s">
        <v>51</v>
      </c>
      <c r="G133" s="56">
        <v>47</v>
      </c>
      <c r="H133" s="56">
        <v>2585</v>
      </c>
      <c r="I133" t="s">
        <v>9</v>
      </c>
      <c r="J133" t="s">
        <v>232</v>
      </c>
    </row>
    <row r="134" spans="1:10">
      <c r="A134" s="56">
        <v>2020</v>
      </c>
      <c r="B134" s="56" t="s">
        <v>5</v>
      </c>
      <c r="C134" s="56">
        <v>56</v>
      </c>
      <c r="D134" s="56" t="s">
        <v>42</v>
      </c>
      <c r="E134" s="56" t="s">
        <v>56</v>
      </c>
      <c r="F134" s="56" t="s">
        <v>51</v>
      </c>
      <c r="G134" s="56">
        <v>3</v>
      </c>
      <c r="H134" s="56">
        <v>168</v>
      </c>
      <c r="I134" t="s">
        <v>9</v>
      </c>
      <c r="J134" t="s">
        <v>232</v>
      </c>
    </row>
    <row r="135" spans="1:10">
      <c r="A135" s="56">
        <v>2020</v>
      </c>
      <c r="B135" s="56" t="s">
        <v>5</v>
      </c>
      <c r="C135" s="56">
        <v>56</v>
      </c>
      <c r="D135" s="56" t="s">
        <v>43</v>
      </c>
      <c r="E135" s="56" t="s">
        <v>56</v>
      </c>
      <c r="F135" s="56" t="s">
        <v>51</v>
      </c>
      <c r="G135" s="56">
        <v>48</v>
      </c>
      <c r="H135" s="56">
        <v>2688</v>
      </c>
      <c r="I135" t="s">
        <v>9</v>
      </c>
      <c r="J135" t="s">
        <v>232</v>
      </c>
    </row>
    <row r="136" spans="1:10">
      <c r="A136" s="56">
        <v>2020</v>
      </c>
      <c r="B136" s="56" t="s">
        <v>5</v>
      </c>
      <c r="C136" s="56">
        <v>57</v>
      </c>
      <c r="D136" s="56" t="s">
        <v>42</v>
      </c>
      <c r="E136" s="56" t="s">
        <v>56</v>
      </c>
      <c r="F136" s="56" t="s">
        <v>51</v>
      </c>
      <c r="G136" s="56">
        <v>1</v>
      </c>
      <c r="H136" s="56">
        <v>57</v>
      </c>
      <c r="I136" t="s">
        <v>9</v>
      </c>
      <c r="J136" t="s">
        <v>232</v>
      </c>
    </row>
    <row r="137" spans="1:10">
      <c r="A137" s="56">
        <v>2020</v>
      </c>
      <c r="B137" s="56" t="s">
        <v>5</v>
      </c>
      <c r="C137" s="56">
        <v>57</v>
      </c>
      <c r="D137" s="56" t="s">
        <v>43</v>
      </c>
      <c r="E137" s="56" t="s">
        <v>56</v>
      </c>
      <c r="F137" s="56" t="s">
        <v>51</v>
      </c>
      <c r="G137" s="56">
        <v>56</v>
      </c>
      <c r="H137" s="56">
        <v>3192</v>
      </c>
      <c r="I137" t="s">
        <v>9</v>
      </c>
      <c r="J137" t="s">
        <v>232</v>
      </c>
    </row>
    <row r="138" spans="1:10">
      <c r="A138" s="56">
        <v>2020</v>
      </c>
      <c r="B138" s="56" t="s">
        <v>5</v>
      </c>
      <c r="C138" s="56">
        <v>58</v>
      </c>
      <c r="D138" s="56" t="s">
        <v>42</v>
      </c>
      <c r="E138" s="56" t="s">
        <v>56</v>
      </c>
      <c r="F138" s="56" t="s">
        <v>51</v>
      </c>
      <c r="G138" s="56">
        <v>4</v>
      </c>
      <c r="H138" s="56">
        <v>232</v>
      </c>
      <c r="I138" t="s">
        <v>9</v>
      </c>
      <c r="J138" t="s">
        <v>232</v>
      </c>
    </row>
    <row r="139" spans="1:10">
      <c r="A139" s="56">
        <v>2020</v>
      </c>
      <c r="B139" s="56" t="s">
        <v>5</v>
      </c>
      <c r="C139" s="56">
        <v>58</v>
      </c>
      <c r="D139" s="56" t="s">
        <v>42</v>
      </c>
      <c r="E139" s="56" t="s">
        <v>57</v>
      </c>
      <c r="F139" s="56" t="s">
        <v>51</v>
      </c>
      <c r="G139" s="56">
        <v>1</v>
      </c>
      <c r="H139" s="56">
        <v>58</v>
      </c>
      <c r="I139" t="s">
        <v>9</v>
      </c>
      <c r="J139" t="s">
        <v>232</v>
      </c>
    </row>
    <row r="140" spans="1:10">
      <c r="A140" s="56">
        <v>2020</v>
      </c>
      <c r="B140" s="56" t="s">
        <v>5</v>
      </c>
      <c r="C140" s="56">
        <v>58</v>
      </c>
      <c r="D140" s="56" t="s">
        <v>43</v>
      </c>
      <c r="E140" s="56" t="s">
        <v>56</v>
      </c>
      <c r="F140" s="56" t="s">
        <v>51</v>
      </c>
      <c r="G140" s="56">
        <v>58</v>
      </c>
      <c r="H140" s="56">
        <v>3364</v>
      </c>
      <c r="I140" t="s">
        <v>9</v>
      </c>
      <c r="J140" t="s">
        <v>232</v>
      </c>
    </row>
    <row r="141" spans="1:10">
      <c r="A141" s="56">
        <v>2020</v>
      </c>
      <c r="B141" s="56" t="s">
        <v>5</v>
      </c>
      <c r="C141" s="56">
        <v>59</v>
      </c>
      <c r="D141" s="56" t="s">
        <v>42</v>
      </c>
      <c r="E141" s="56" t="s">
        <v>56</v>
      </c>
      <c r="F141" s="56" t="s">
        <v>51</v>
      </c>
      <c r="G141" s="56">
        <v>2</v>
      </c>
      <c r="H141" s="56">
        <v>118</v>
      </c>
      <c r="I141" t="s">
        <v>9</v>
      </c>
      <c r="J141" t="s">
        <v>232</v>
      </c>
    </row>
    <row r="142" spans="1:10">
      <c r="A142" s="56">
        <v>2020</v>
      </c>
      <c r="B142" s="56" t="s">
        <v>5</v>
      </c>
      <c r="C142" s="56">
        <v>59</v>
      </c>
      <c r="D142" s="56" t="s">
        <v>43</v>
      </c>
      <c r="E142" s="56" t="s">
        <v>56</v>
      </c>
      <c r="F142" s="56" t="s">
        <v>51</v>
      </c>
      <c r="G142" s="56">
        <v>40</v>
      </c>
      <c r="H142" s="56">
        <v>2360</v>
      </c>
      <c r="I142" t="s">
        <v>9</v>
      </c>
      <c r="J142" t="s">
        <v>232</v>
      </c>
    </row>
    <row r="143" spans="1:10">
      <c r="A143" s="56">
        <v>2020</v>
      </c>
      <c r="B143" s="56" t="s">
        <v>5</v>
      </c>
      <c r="C143" s="56">
        <v>60</v>
      </c>
      <c r="D143" s="56" t="s">
        <v>43</v>
      </c>
      <c r="E143" s="56" t="s">
        <v>56</v>
      </c>
      <c r="F143" s="56" t="s">
        <v>52</v>
      </c>
      <c r="G143" s="56">
        <v>50</v>
      </c>
      <c r="H143" s="56">
        <v>3000</v>
      </c>
      <c r="I143" t="s">
        <v>9</v>
      </c>
      <c r="J143" t="s">
        <v>232</v>
      </c>
    </row>
    <row r="144" spans="1:10">
      <c r="A144" s="56">
        <v>2020</v>
      </c>
      <c r="B144" s="56" t="s">
        <v>5</v>
      </c>
      <c r="C144" s="56">
        <v>61</v>
      </c>
      <c r="D144" s="56" t="s">
        <v>42</v>
      </c>
      <c r="E144" s="56" t="s">
        <v>56</v>
      </c>
      <c r="F144" s="56" t="s">
        <v>52</v>
      </c>
      <c r="G144" s="56">
        <v>3</v>
      </c>
      <c r="H144" s="56">
        <v>183</v>
      </c>
      <c r="I144" t="s">
        <v>9</v>
      </c>
      <c r="J144" t="s">
        <v>232</v>
      </c>
    </row>
    <row r="145" spans="1:10">
      <c r="A145" s="56">
        <v>2020</v>
      </c>
      <c r="B145" s="56" t="s">
        <v>5</v>
      </c>
      <c r="C145" s="56">
        <v>61</v>
      </c>
      <c r="D145" s="56" t="s">
        <v>42</v>
      </c>
      <c r="E145" s="56" t="s">
        <v>57</v>
      </c>
      <c r="F145" s="56" t="s">
        <v>52</v>
      </c>
      <c r="G145" s="56">
        <v>1</v>
      </c>
      <c r="H145" s="56">
        <v>61</v>
      </c>
      <c r="I145" t="s">
        <v>9</v>
      </c>
      <c r="J145" t="s">
        <v>232</v>
      </c>
    </row>
    <row r="146" spans="1:10">
      <c r="A146" s="56">
        <v>2020</v>
      </c>
      <c r="B146" s="56" t="s">
        <v>5</v>
      </c>
      <c r="C146" s="56">
        <v>61</v>
      </c>
      <c r="D146" s="56" t="s">
        <v>43</v>
      </c>
      <c r="E146" s="56" t="s">
        <v>56</v>
      </c>
      <c r="F146" s="56" t="s">
        <v>52</v>
      </c>
      <c r="G146" s="56">
        <v>37</v>
      </c>
      <c r="H146" s="56">
        <v>2257</v>
      </c>
      <c r="I146" t="s">
        <v>9</v>
      </c>
      <c r="J146" t="s">
        <v>232</v>
      </c>
    </row>
    <row r="147" spans="1:10">
      <c r="A147" s="56">
        <v>2020</v>
      </c>
      <c r="B147" s="56" t="s">
        <v>5</v>
      </c>
      <c r="C147" s="56">
        <v>62</v>
      </c>
      <c r="D147" s="56" t="s">
        <v>42</v>
      </c>
      <c r="E147" s="56" t="s">
        <v>56</v>
      </c>
      <c r="F147" s="56" t="s">
        <v>52</v>
      </c>
      <c r="G147" s="56">
        <v>4</v>
      </c>
      <c r="H147" s="56">
        <v>248</v>
      </c>
      <c r="I147" t="s">
        <v>9</v>
      </c>
      <c r="J147" t="s">
        <v>232</v>
      </c>
    </row>
    <row r="148" spans="1:10">
      <c r="A148" s="56">
        <v>2020</v>
      </c>
      <c r="B148" s="56" t="s">
        <v>5</v>
      </c>
      <c r="C148" s="56">
        <v>62</v>
      </c>
      <c r="D148" s="56" t="s">
        <v>42</v>
      </c>
      <c r="E148" s="56" t="s">
        <v>57</v>
      </c>
      <c r="F148" s="56" t="s">
        <v>52</v>
      </c>
      <c r="G148" s="56">
        <v>1</v>
      </c>
      <c r="H148" s="56">
        <v>62</v>
      </c>
      <c r="I148" t="s">
        <v>9</v>
      </c>
      <c r="J148" t="s">
        <v>232</v>
      </c>
    </row>
    <row r="149" spans="1:10">
      <c r="A149" s="56">
        <v>2020</v>
      </c>
      <c r="B149" s="56" t="s">
        <v>5</v>
      </c>
      <c r="C149" s="56">
        <v>62</v>
      </c>
      <c r="D149" s="56" t="s">
        <v>43</v>
      </c>
      <c r="E149" s="56" t="s">
        <v>56</v>
      </c>
      <c r="F149" s="56" t="s">
        <v>52</v>
      </c>
      <c r="G149" s="56">
        <v>25</v>
      </c>
      <c r="H149" s="56">
        <v>1550</v>
      </c>
      <c r="I149" t="s">
        <v>9</v>
      </c>
      <c r="J149" t="s">
        <v>232</v>
      </c>
    </row>
    <row r="150" spans="1:10">
      <c r="A150" s="56">
        <v>2020</v>
      </c>
      <c r="B150" s="56" t="s">
        <v>5</v>
      </c>
      <c r="C150" s="56">
        <v>63</v>
      </c>
      <c r="D150" s="56" t="s">
        <v>42</v>
      </c>
      <c r="E150" s="56" t="s">
        <v>56</v>
      </c>
      <c r="F150" s="56" t="s">
        <v>52</v>
      </c>
      <c r="G150" s="56">
        <v>2</v>
      </c>
      <c r="H150" s="56">
        <v>126</v>
      </c>
      <c r="I150" t="s">
        <v>9</v>
      </c>
      <c r="J150" t="s">
        <v>232</v>
      </c>
    </row>
    <row r="151" spans="1:10">
      <c r="A151" s="56">
        <v>2020</v>
      </c>
      <c r="B151" s="56" t="s">
        <v>5</v>
      </c>
      <c r="C151" s="56">
        <v>63</v>
      </c>
      <c r="D151" s="56" t="s">
        <v>42</v>
      </c>
      <c r="E151" s="56" t="s">
        <v>57</v>
      </c>
      <c r="F151" s="56" t="s">
        <v>52</v>
      </c>
      <c r="G151" s="56">
        <v>1</v>
      </c>
      <c r="H151" s="56">
        <v>63</v>
      </c>
      <c r="I151" t="s">
        <v>9</v>
      </c>
      <c r="J151" t="s">
        <v>232</v>
      </c>
    </row>
    <row r="152" spans="1:10">
      <c r="A152" s="56">
        <v>2020</v>
      </c>
      <c r="B152" s="56" t="s">
        <v>5</v>
      </c>
      <c r="C152" s="56">
        <v>63</v>
      </c>
      <c r="D152" s="56" t="s">
        <v>43</v>
      </c>
      <c r="E152" s="56" t="s">
        <v>56</v>
      </c>
      <c r="F152" s="56" t="s">
        <v>52</v>
      </c>
      <c r="G152" s="56">
        <v>36</v>
      </c>
      <c r="H152" s="56">
        <v>2268</v>
      </c>
      <c r="I152" t="s">
        <v>9</v>
      </c>
      <c r="J152" t="s">
        <v>232</v>
      </c>
    </row>
    <row r="153" spans="1:10">
      <c r="A153" s="56">
        <v>2020</v>
      </c>
      <c r="B153" s="56" t="s">
        <v>5</v>
      </c>
      <c r="C153" s="56">
        <v>64</v>
      </c>
      <c r="D153" s="56" t="s">
        <v>42</v>
      </c>
      <c r="E153" s="56" t="s">
        <v>56</v>
      </c>
      <c r="F153" s="56" t="s">
        <v>52</v>
      </c>
      <c r="G153" s="56">
        <v>2</v>
      </c>
      <c r="H153" s="56">
        <v>128</v>
      </c>
      <c r="I153" t="s">
        <v>9</v>
      </c>
      <c r="J153" t="s">
        <v>232</v>
      </c>
    </row>
    <row r="154" spans="1:10">
      <c r="A154" s="56">
        <v>2020</v>
      </c>
      <c r="B154" s="56" t="s">
        <v>5</v>
      </c>
      <c r="C154" s="56">
        <v>64</v>
      </c>
      <c r="D154" s="56" t="s">
        <v>42</v>
      </c>
      <c r="E154" s="56" t="s">
        <v>57</v>
      </c>
      <c r="F154" s="56" t="s">
        <v>52</v>
      </c>
      <c r="G154" s="56">
        <v>1</v>
      </c>
      <c r="H154" s="56">
        <v>64</v>
      </c>
      <c r="I154" t="s">
        <v>9</v>
      </c>
      <c r="J154" t="s">
        <v>232</v>
      </c>
    </row>
    <row r="155" spans="1:10">
      <c r="A155" s="56">
        <v>2020</v>
      </c>
      <c r="B155" s="56" t="s">
        <v>5</v>
      </c>
      <c r="C155" s="56">
        <v>64</v>
      </c>
      <c r="D155" s="56" t="s">
        <v>43</v>
      </c>
      <c r="E155" s="56" t="s">
        <v>56</v>
      </c>
      <c r="F155" s="56" t="s">
        <v>52</v>
      </c>
      <c r="G155" s="56">
        <v>29</v>
      </c>
      <c r="H155" s="56">
        <v>1856</v>
      </c>
      <c r="I155" t="s">
        <v>9</v>
      </c>
      <c r="J155" t="s">
        <v>232</v>
      </c>
    </row>
    <row r="156" spans="1:10">
      <c r="A156" s="56">
        <v>2020</v>
      </c>
      <c r="B156" s="56" t="s">
        <v>5</v>
      </c>
      <c r="C156" s="56">
        <v>65</v>
      </c>
      <c r="D156" s="56" t="s">
        <v>42</v>
      </c>
      <c r="E156" s="56" t="s">
        <v>56</v>
      </c>
      <c r="F156" s="56" t="s">
        <v>52</v>
      </c>
      <c r="G156" s="56">
        <v>1</v>
      </c>
      <c r="H156" s="56">
        <v>65</v>
      </c>
      <c r="I156" t="s">
        <v>9</v>
      </c>
      <c r="J156" t="s">
        <v>232</v>
      </c>
    </row>
    <row r="157" spans="1:10">
      <c r="A157" s="56">
        <v>2020</v>
      </c>
      <c r="B157" s="56" t="s">
        <v>5</v>
      </c>
      <c r="C157" s="56">
        <v>65</v>
      </c>
      <c r="D157" s="56" t="s">
        <v>42</v>
      </c>
      <c r="E157" s="56" t="s">
        <v>57</v>
      </c>
      <c r="F157" s="56" t="s">
        <v>52</v>
      </c>
      <c r="G157" s="56">
        <v>1</v>
      </c>
      <c r="H157" s="56">
        <v>65</v>
      </c>
      <c r="I157" t="s">
        <v>9</v>
      </c>
      <c r="J157" t="s">
        <v>232</v>
      </c>
    </row>
    <row r="158" spans="1:10">
      <c r="A158" s="56">
        <v>2020</v>
      </c>
      <c r="B158" s="56" t="s">
        <v>5</v>
      </c>
      <c r="C158" s="56">
        <v>65</v>
      </c>
      <c r="D158" s="56" t="s">
        <v>43</v>
      </c>
      <c r="E158" s="56" t="s">
        <v>56</v>
      </c>
      <c r="F158" s="56" t="s">
        <v>52</v>
      </c>
      <c r="G158" s="56">
        <v>10</v>
      </c>
      <c r="H158" s="56">
        <v>650</v>
      </c>
      <c r="I158" t="s">
        <v>9</v>
      </c>
      <c r="J158" t="s">
        <v>232</v>
      </c>
    </row>
    <row r="159" spans="1:10">
      <c r="A159" s="56">
        <v>2020</v>
      </c>
      <c r="B159" s="56" t="s">
        <v>5</v>
      </c>
      <c r="C159" s="56">
        <v>66</v>
      </c>
      <c r="D159" s="56" t="s">
        <v>42</v>
      </c>
      <c r="E159" s="56" t="s">
        <v>56</v>
      </c>
      <c r="F159" s="56" t="s">
        <v>52</v>
      </c>
      <c r="G159" s="56">
        <v>1</v>
      </c>
      <c r="H159" s="56">
        <v>66</v>
      </c>
      <c r="I159" t="s">
        <v>9</v>
      </c>
      <c r="J159" t="s">
        <v>232</v>
      </c>
    </row>
    <row r="160" spans="1:10">
      <c r="A160" s="56">
        <v>2020</v>
      </c>
      <c r="B160" s="56" t="s">
        <v>5</v>
      </c>
      <c r="C160" s="56">
        <v>66</v>
      </c>
      <c r="D160" s="56" t="s">
        <v>42</v>
      </c>
      <c r="E160" s="56" t="s">
        <v>57</v>
      </c>
      <c r="F160" s="56" t="s">
        <v>52</v>
      </c>
      <c r="G160" s="56">
        <v>2</v>
      </c>
      <c r="H160" s="56">
        <v>132</v>
      </c>
      <c r="I160" t="s">
        <v>9</v>
      </c>
      <c r="J160" t="s">
        <v>232</v>
      </c>
    </row>
    <row r="161" spans="1:10">
      <c r="A161" s="56">
        <v>2020</v>
      </c>
      <c r="B161" s="56" t="s">
        <v>5</v>
      </c>
      <c r="C161" s="56">
        <v>66</v>
      </c>
      <c r="D161" s="56" t="s">
        <v>43</v>
      </c>
      <c r="E161" s="56" t="s">
        <v>56</v>
      </c>
      <c r="F161" s="56" t="s">
        <v>52</v>
      </c>
      <c r="G161" s="56">
        <v>15</v>
      </c>
      <c r="H161" s="56">
        <v>990</v>
      </c>
      <c r="I161" t="s">
        <v>9</v>
      </c>
      <c r="J161" t="s">
        <v>232</v>
      </c>
    </row>
    <row r="162" spans="1:10">
      <c r="A162" s="56">
        <v>2020</v>
      </c>
      <c r="B162" s="56" t="s">
        <v>5</v>
      </c>
      <c r="C162" s="56">
        <v>67</v>
      </c>
      <c r="D162" s="56" t="s">
        <v>43</v>
      </c>
      <c r="E162" s="56" t="s">
        <v>56</v>
      </c>
      <c r="F162" s="56" t="s">
        <v>52</v>
      </c>
      <c r="G162" s="56">
        <v>5</v>
      </c>
      <c r="H162" s="56">
        <v>335</v>
      </c>
      <c r="I162" t="s">
        <v>9</v>
      </c>
      <c r="J162" t="s">
        <v>232</v>
      </c>
    </row>
    <row r="163" spans="1:10">
      <c r="A163" s="56">
        <v>2020</v>
      </c>
      <c r="B163" s="56" t="s">
        <v>5</v>
      </c>
      <c r="C163" s="56">
        <v>68</v>
      </c>
      <c r="D163" s="56" t="s">
        <v>42</v>
      </c>
      <c r="E163" s="56" t="s">
        <v>56</v>
      </c>
      <c r="F163" s="56" t="s">
        <v>52</v>
      </c>
      <c r="G163" s="56">
        <v>1</v>
      </c>
      <c r="H163" s="56">
        <v>68</v>
      </c>
      <c r="I163" t="s">
        <v>9</v>
      </c>
      <c r="J163" t="s">
        <v>232</v>
      </c>
    </row>
    <row r="164" spans="1:10">
      <c r="A164" s="56">
        <v>2020</v>
      </c>
      <c r="B164" s="56" t="s">
        <v>5</v>
      </c>
      <c r="C164" s="56">
        <v>68</v>
      </c>
      <c r="D164" s="56" t="s">
        <v>42</v>
      </c>
      <c r="E164" s="56" t="s">
        <v>57</v>
      </c>
      <c r="F164" s="56" t="s">
        <v>52</v>
      </c>
      <c r="G164" s="56">
        <v>2</v>
      </c>
      <c r="H164" s="56">
        <v>136</v>
      </c>
      <c r="I164" t="s">
        <v>9</v>
      </c>
      <c r="J164" t="s">
        <v>232</v>
      </c>
    </row>
    <row r="165" spans="1:10">
      <c r="A165" s="56">
        <v>2020</v>
      </c>
      <c r="B165" s="56" t="s">
        <v>5</v>
      </c>
      <c r="C165" s="56">
        <v>68</v>
      </c>
      <c r="D165" s="56" t="s">
        <v>43</v>
      </c>
      <c r="E165" s="56" t="s">
        <v>56</v>
      </c>
      <c r="F165" s="56" t="s">
        <v>52</v>
      </c>
      <c r="G165" s="56">
        <v>3</v>
      </c>
      <c r="H165" s="56">
        <v>204</v>
      </c>
      <c r="I165" t="s">
        <v>9</v>
      </c>
      <c r="J165" t="s">
        <v>232</v>
      </c>
    </row>
    <row r="166" spans="1:10">
      <c r="A166" s="56">
        <v>2020</v>
      </c>
      <c r="B166" s="56" t="s">
        <v>5</v>
      </c>
      <c r="C166" s="56">
        <v>69</v>
      </c>
      <c r="D166" s="56" t="s">
        <v>42</v>
      </c>
      <c r="E166" s="56" t="s">
        <v>56</v>
      </c>
      <c r="F166" s="56" t="s">
        <v>52</v>
      </c>
      <c r="G166" s="56">
        <v>2</v>
      </c>
      <c r="H166" s="56">
        <v>138</v>
      </c>
      <c r="I166" t="s">
        <v>9</v>
      </c>
      <c r="J166" t="s">
        <v>232</v>
      </c>
    </row>
    <row r="167" spans="1:10">
      <c r="A167" s="56">
        <v>2020</v>
      </c>
      <c r="B167" s="56" t="s">
        <v>5</v>
      </c>
      <c r="C167" s="56">
        <v>69</v>
      </c>
      <c r="D167" s="56" t="s">
        <v>43</v>
      </c>
      <c r="E167" s="56" t="s">
        <v>56</v>
      </c>
      <c r="F167" s="56" t="s">
        <v>52</v>
      </c>
      <c r="G167" s="56">
        <v>6</v>
      </c>
      <c r="H167" s="56">
        <v>414</v>
      </c>
      <c r="I167" t="s">
        <v>9</v>
      </c>
      <c r="J167" t="s">
        <v>232</v>
      </c>
    </row>
    <row r="168" spans="1:10">
      <c r="A168" s="56">
        <v>2020</v>
      </c>
      <c r="B168" s="56" t="s">
        <v>5</v>
      </c>
      <c r="C168" s="56">
        <v>70</v>
      </c>
      <c r="D168" s="56" t="s">
        <v>42</v>
      </c>
      <c r="E168" s="56" t="s">
        <v>56</v>
      </c>
      <c r="F168" s="56" t="s">
        <v>52</v>
      </c>
      <c r="G168" s="56">
        <v>1</v>
      </c>
      <c r="H168" s="56">
        <v>70</v>
      </c>
      <c r="I168" t="s">
        <v>9</v>
      </c>
      <c r="J168" t="s">
        <v>232</v>
      </c>
    </row>
    <row r="169" spans="1:10">
      <c r="A169" s="56">
        <v>2020</v>
      </c>
      <c r="B169" s="56" t="s">
        <v>5</v>
      </c>
      <c r="C169" s="56">
        <v>70</v>
      </c>
      <c r="D169" s="56" t="s">
        <v>43</v>
      </c>
      <c r="E169" s="56" t="s">
        <v>56</v>
      </c>
      <c r="F169" s="56" t="s">
        <v>52</v>
      </c>
      <c r="G169" s="56">
        <v>1</v>
      </c>
      <c r="H169" s="56">
        <v>70</v>
      </c>
      <c r="I169" t="s">
        <v>9</v>
      </c>
      <c r="J169" t="s">
        <v>232</v>
      </c>
    </row>
    <row r="170" spans="1:10">
      <c r="A170" s="56">
        <v>2020</v>
      </c>
      <c r="B170" s="56" t="s">
        <v>5</v>
      </c>
      <c r="C170" s="56">
        <v>71</v>
      </c>
      <c r="D170" s="56" t="s">
        <v>42</v>
      </c>
      <c r="E170" s="56" t="s">
        <v>56</v>
      </c>
      <c r="F170" s="56" t="s">
        <v>52</v>
      </c>
      <c r="G170" s="56">
        <v>1</v>
      </c>
      <c r="H170" s="56">
        <v>71</v>
      </c>
      <c r="I170" t="s">
        <v>9</v>
      </c>
      <c r="J170" t="s">
        <v>232</v>
      </c>
    </row>
    <row r="171" spans="1:10">
      <c r="A171" s="56">
        <v>2020</v>
      </c>
      <c r="B171" s="56" t="s">
        <v>5</v>
      </c>
      <c r="C171" s="56">
        <v>71</v>
      </c>
      <c r="D171" s="56" t="s">
        <v>43</v>
      </c>
      <c r="E171" s="56" t="s">
        <v>56</v>
      </c>
      <c r="F171" s="56" t="s">
        <v>52</v>
      </c>
      <c r="G171" s="56">
        <v>6</v>
      </c>
      <c r="H171" s="56">
        <v>426</v>
      </c>
      <c r="I171" t="s">
        <v>9</v>
      </c>
      <c r="J171" t="s">
        <v>232</v>
      </c>
    </row>
    <row r="172" spans="1:10">
      <c r="A172" s="56">
        <v>2020</v>
      </c>
      <c r="B172" s="56" t="s">
        <v>5</v>
      </c>
      <c r="C172" s="56">
        <v>72</v>
      </c>
      <c r="D172" s="56" t="s">
        <v>43</v>
      </c>
      <c r="E172" s="56" t="s">
        <v>56</v>
      </c>
      <c r="F172" s="56" t="s">
        <v>52</v>
      </c>
      <c r="G172" s="56">
        <v>2</v>
      </c>
      <c r="H172" s="56">
        <v>144</v>
      </c>
      <c r="I172" t="s">
        <v>9</v>
      </c>
      <c r="J172" t="s">
        <v>232</v>
      </c>
    </row>
    <row r="173" spans="1:10">
      <c r="A173" s="56">
        <v>2020</v>
      </c>
      <c r="B173" s="56" t="s">
        <v>5</v>
      </c>
      <c r="C173" s="56">
        <v>73</v>
      </c>
      <c r="D173" s="56" t="s">
        <v>43</v>
      </c>
      <c r="E173" s="56" t="s">
        <v>56</v>
      </c>
      <c r="F173" s="56" t="s">
        <v>52</v>
      </c>
      <c r="G173" s="56">
        <v>2</v>
      </c>
      <c r="H173" s="56">
        <v>146</v>
      </c>
      <c r="I173" t="s">
        <v>9</v>
      </c>
      <c r="J173" t="s">
        <v>232</v>
      </c>
    </row>
    <row r="174" spans="1:10">
      <c r="A174" s="56">
        <v>2020</v>
      </c>
      <c r="B174" s="56" t="s">
        <v>5</v>
      </c>
      <c r="C174" s="56">
        <v>74</v>
      </c>
      <c r="D174" s="56" t="s">
        <v>43</v>
      </c>
      <c r="E174" s="56" t="s">
        <v>56</v>
      </c>
      <c r="F174" s="56" t="s">
        <v>52</v>
      </c>
      <c r="G174" s="56">
        <v>3</v>
      </c>
      <c r="H174" s="56">
        <v>222</v>
      </c>
      <c r="I174" t="s">
        <v>9</v>
      </c>
      <c r="J174" t="s">
        <v>232</v>
      </c>
    </row>
    <row r="175" spans="1:10">
      <c r="A175" s="56">
        <v>2020</v>
      </c>
      <c r="B175" s="56" t="s">
        <v>5</v>
      </c>
      <c r="C175" s="56">
        <v>75</v>
      </c>
      <c r="D175" s="56" t="s">
        <v>43</v>
      </c>
      <c r="E175" s="56" t="s">
        <v>56</v>
      </c>
      <c r="F175" s="56" t="s">
        <v>52</v>
      </c>
      <c r="G175" s="56">
        <v>1</v>
      </c>
      <c r="H175" s="56">
        <v>75</v>
      </c>
      <c r="I175" t="s">
        <v>9</v>
      </c>
      <c r="J175" t="s">
        <v>232</v>
      </c>
    </row>
    <row r="176" spans="1:10">
      <c r="A176" s="56">
        <v>2020</v>
      </c>
      <c r="B176" s="56" t="s">
        <v>5</v>
      </c>
      <c r="C176" s="56">
        <v>126</v>
      </c>
      <c r="D176" s="56" t="s">
        <v>43</v>
      </c>
      <c r="E176" s="56" t="s">
        <v>56</v>
      </c>
      <c r="F176" s="56" t="s">
        <v>52</v>
      </c>
      <c r="G176" s="56">
        <v>1</v>
      </c>
      <c r="H176" s="56">
        <v>126</v>
      </c>
      <c r="I176" t="s">
        <v>9</v>
      </c>
      <c r="J176" t="s">
        <v>232</v>
      </c>
    </row>
  </sheetData>
  <sortState xmlns:xlrd2="http://schemas.microsoft.com/office/spreadsheetml/2017/richdata2" ref="A2:J180">
    <sortCondition ref="B1:B1048576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5">
    <tabColor theme="9" tint="0.79998168889431442"/>
  </sheetPr>
  <dimension ref="A1:H1763"/>
  <sheetViews>
    <sheetView workbookViewId="0">
      <selection sqref="A1:B1048576"/>
    </sheetView>
  </sheetViews>
  <sheetFormatPr baseColWidth="10" defaultColWidth="11.42578125" defaultRowHeight="15"/>
  <cols>
    <col min="1" max="2" width="11.42578125" style="220" customWidth="1"/>
    <col min="3" max="3" width="16.140625" style="56" bestFit="1" customWidth="1"/>
    <col min="4" max="4" width="37.7109375" style="56" bestFit="1" customWidth="1"/>
    <col min="5" max="5" width="11.42578125" style="56" customWidth="1"/>
    <col min="6" max="6" width="18" style="56" bestFit="1" customWidth="1"/>
    <col min="7" max="7" width="16.42578125" bestFit="1" customWidth="1"/>
    <col min="8" max="8" width="18.140625" bestFit="1" customWidth="1"/>
  </cols>
  <sheetData>
    <row r="1" spans="1:8">
      <c r="A1" s="220" t="s">
        <v>172</v>
      </c>
      <c r="B1" s="220" t="s">
        <v>173</v>
      </c>
      <c r="C1" s="56" t="s">
        <v>174</v>
      </c>
      <c r="D1" s="56" t="s">
        <v>175</v>
      </c>
      <c r="E1" s="56" t="s">
        <v>162</v>
      </c>
      <c r="F1" s="56" t="s">
        <v>176</v>
      </c>
      <c r="G1" t="s">
        <v>171</v>
      </c>
      <c r="H1" s="117" t="s">
        <v>177</v>
      </c>
    </row>
    <row r="2" spans="1:8">
      <c r="A2" s="220">
        <v>43466</v>
      </c>
      <c r="B2" s="220">
        <v>43830</v>
      </c>
      <c r="C2" s="56" t="s">
        <v>5</v>
      </c>
      <c r="D2" s="56" t="s">
        <v>9</v>
      </c>
      <c r="E2" s="56">
        <v>2019</v>
      </c>
      <c r="F2" s="56">
        <v>850.08</v>
      </c>
      <c r="G2" t="s">
        <v>232</v>
      </c>
      <c r="H2">
        <v>1106.76</v>
      </c>
    </row>
    <row r="3" spans="1:8">
      <c r="A3" s="220">
        <v>43466</v>
      </c>
      <c r="B3" s="220">
        <v>43830</v>
      </c>
      <c r="C3" s="56" t="s">
        <v>5</v>
      </c>
      <c r="D3" s="56" t="s">
        <v>9</v>
      </c>
      <c r="E3" s="56">
        <v>2019</v>
      </c>
      <c r="F3" s="56">
        <v>1014.14</v>
      </c>
      <c r="G3" t="s">
        <v>232</v>
      </c>
      <c r="H3">
        <v>1320.36</v>
      </c>
    </row>
    <row r="4" spans="1:8">
      <c r="A4" s="220">
        <v>43466</v>
      </c>
      <c r="B4" s="220">
        <v>43830</v>
      </c>
      <c r="C4" s="56" t="s">
        <v>5</v>
      </c>
      <c r="D4" s="56" t="s">
        <v>9</v>
      </c>
      <c r="E4" s="56">
        <v>2019</v>
      </c>
      <c r="F4" s="56">
        <v>5723.43</v>
      </c>
      <c r="G4" t="s">
        <v>232</v>
      </c>
      <c r="H4">
        <v>7451.64</v>
      </c>
    </row>
    <row r="5" spans="1:8">
      <c r="A5" s="220">
        <v>43831</v>
      </c>
      <c r="B5" s="220">
        <v>44196</v>
      </c>
      <c r="C5" s="56" t="s">
        <v>5</v>
      </c>
      <c r="D5" s="56" t="s">
        <v>9</v>
      </c>
      <c r="E5" s="56">
        <v>2020</v>
      </c>
      <c r="F5" s="56">
        <v>653.33000000000004</v>
      </c>
      <c r="G5" t="s">
        <v>232</v>
      </c>
      <c r="H5">
        <v>909.12</v>
      </c>
    </row>
    <row r="6" spans="1:8">
      <c r="A6" s="220">
        <v>43831</v>
      </c>
      <c r="B6" s="220">
        <v>44196</v>
      </c>
      <c r="C6" s="56" t="s">
        <v>5</v>
      </c>
      <c r="D6" s="56" t="s">
        <v>9</v>
      </c>
      <c r="E6" s="56">
        <v>2020</v>
      </c>
      <c r="F6" s="56">
        <v>594.77</v>
      </c>
      <c r="G6" t="s">
        <v>232</v>
      </c>
      <c r="H6">
        <v>827.64</v>
      </c>
    </row>
    <row r="7" spans="1:8">
      <c r="A7" s="220">
        <v>43466</v>
      </c>
      <c r="B7" s="220">
        <v>43830</v>
      </c>
      <c r="C7" s="56" t="s">
        <v>5</v>
      </c>
      <c r="D7" s="56" t="s">
        <v>9</v>
      </c>
      <c r="E7" s="56">
        <v>2019</v>
      </c>
      <c r="F7" s="56">
        <v>871.55</v>
      </c>
      <c r="G7" t="s">
        <v>232</v>
      </c>
      <c r="H7">
        <v>1134.72</v>
      </c>
    </row>
    <row r="8" spans="1:8">
      <c r="A8" s="220">
        <v>43466</v>
      </c>
      <c r="B8" s="220">
        <v>43830</v>
      </c>
      <c r="C8" s="56" t="s">
        <v>5</v>
      </c>
      <c r="D8" s="56" t="s">
        <v>9</v>
      </c>
      <c r="E8" s="56">
        <v>2019</v>
      </c>
      <c r="F8" s="56">
        <v>558.08000000000004</v>
      </c>
      <c r="G8" t="s">
        <v>232</v>
      </c>
      <c r="H8">
        <v>726.6</v>
      </c>
    </row>
    <row r="9" spans="1:8">
      <c r="A9" s="220">
        <v>43831</v>
      </c>
      <c r="B9" s="220">
        <v>44196</v>
      </c>
      <c r="C9" s="56" t="s">
        <v>5</v>
      </c>
      <c r="D9" s="56" t="s">
        <v>9</v>
      </c>
      <c r="E9" s="56">
        <v>2020</v>
      </c>
      <c r="F9" s="56">
        <v>935.67</v>
      </c>
      <c r="G9" t="s">
        <v>232</v>
      </c>
      <c r="H9">
        <v>1302</v>
      </c>
    </row>
    <row r="10" spans="1:8">
      <c r="A10" s="220">
        <v>43466</v>
      </c>
      <c r="B10" s="220">
        <v>43830</v>
      </c>
      <c r="C10" s="56" t="s">
        <v>5</v>
      </c>
      <c r="D10" s="56" t="s">
        <v>9</v>
      </c>
      <c r="E10" s="56">
        <v>2019</v>
      </c>
      <c r="F10" s="56">
        <v>985.1</v>
      </c>
      <c r="G10" t="s">
        <v>232</v>
      </c>
      <c r="H10">
        <v>1282.56</v>
      </c>
    </row>
    <row r="11" spans="1:8">
      <c r="A11" s="220">
        <v>43466</v>
      </c>
      <c r="B11" s="220">
        <v>43830</v>
      </c>
      <c r="C11" s="56" t="s">
        <v>5</v>
      </c>
      <c r="D11" s="56" t="s">
        <v>9</v>
      </c>
      <c r="E11" s="56">
        <v>2019</v>
      </c>
      <c r="F11" s="56">
        <v>476.88</v>
      </c>
      <c r="G11" t="s">
        <v>232</v>
      </c>
      <c r="H11">
        <v>620.88</v>
      </c>
    </row>
    <row r="12" spans="1:8">
      <c r="A12" s="220">
        <v>43831</v>
      </c>
      <c r="B12" s="220">
        <v>44196</v>
      </c>
      <c r="C12" s="56" t="s">
        <v>5</v>
      </c>
      <c r="D12" s="56" t="s">
        <v>9</v>
      </c>
      <c r="E12" s="56">
        <v>2020</v>
      </c>
      <c r="F12" s="56">
        <v>1763.7</v>
      </c>
      <c r="G12" t="s">
        <v>232</v>
      </c>
      <c r="H12">
        <v>2454.23</v>
      </c>
    </row>
    <row r="13" spans="1:8">
      <c r="A13" s="220">
        <v>43831</v>
      </c>
      <c r="B13" s="220">
        <v>44196</v>
      </c>
      <c r="C13" s="56" t="s">
        <v>5</v>
      </c>
      <c r="D13" s="56" t="s">
        <v>9</v>
      </c>
      <c r="E13" s="56">
        <v>2020</v>
      </c>
      <c r="F13" s="56">
        <v>371.9</v>
      </c>
      <c r="G13" t="s">
        <v>232</v>
      </c>
      <c r="H13">
        <v>517.51</v>
      </c>
    </row>
    <row r="14" spans="1:8">
      <c r="A14" s="220">
        <v>43466</v>
      </c>
      <c r="B14" s="220">
        <v>43830</v>
      </c>
      <c r="C14" s="56" t="s">
        <v>5</v>
      </c>
      <c r="D14" s="56" t="s">
        <v>9</v>
      </c>
      <c r="E14" s="56">
        <v>2019</v>
      </c>
      <c r="F14" s="56">
        <v>1508.5</v>
      </c>
      <c r="G14" t="s">
        <v>232</v>
      </c>
      <c r="H14">
        <v>1964</v>
      </c>
    </row>
    <row r="15" spans="1:8">
      <c r="A15" s="220">
        <v>43466</v>
      </c>
      <c r="B15" s="220">
        <v>43830</v>
      </c>
      <c r="C15" s="56" t="s">
        <v>5</v>
      </c>
      <c r="D15" s="56" t="s">
        <v>9</v>
      </c>
      <c r="E15" s="56">
        <v>2019</v>
      </c>
      <c r="F15" s="56">
        <v>497.07</v>
      </c>
      <c r="G15" t="s">
        <v>232</v>
      </c>
      <c r="H15">
        <v>647.16</v>
      </c>
    </row>
    <row r="16" spans="1:8">
      <c r="A16" s="220">
        <v>43466</v>
      </c>
      <c r="B16" s="220">
        <v>43830</v>
      </c>
      <c r="C16" s="56" t="s">
        <v>5</v>
      </c>
      <c r="D16" s="56" t="s">
        <v>9</v>
      </c>
      <c r="E16" s="56">
        <v>2019</v>
      </c>
      <c r="F16" s="56">
        <v>797.72</v>
      </c>
      <c r="G16" t="s">
        <v>232</v>
      </c>
      <c r="H16">
        <v>1038.5999999999999</v>
      </c>
    </row>
    <row r="17" spans="1:8">
      <c r="A17" s="220">
        <v>43466</v>
      </c>
      <c r="B17" s="220">
        <v>43830</v>
      </c>
      <c r="C17" s="56" t="s">
        <v>5</v>
      </c>
      <c r="D17" s="56" t="s">
        <v>9</v>
      </c>
      <c r="E17" s="56">
        <v>2019</v>
      </c>
      <c r="F17" s="56">
        <v>589.79</v>
      </c>
      <c r="G17" t="s">
        <v>232</v>
      </c>
      <c r="H17">
        <v>767.88</v>
      </c>
    </row>
    <row r="18" spans="1:8">
      <c r="A18" s="220">
        <v>43466</v>
      </c>
      <c r="B18" s="220">
        <v>43830</v>
      </c>
      <c r="C18" s="56" t="s">
        <v>5</v>
      </c>
      <c r="D18" s="56" t="s">
        <v>9</v>
      </c>
      <c r="E18" s="56">
        <v>2019</v>
      </c>
      <c r="F18" s="56">
        <v>617.26</v>
      </c>
      <c r="G18" t="s">
        <v>232</v>
      </c>
      <c r="H18">
        <v>803.64</v>
      </c>
    </row>
    <row r="19" spans="1:8">
      <c r="A19" s="220">
        <v>43466</v>
      </c>
      <c r="B19" s="220">
        <v>43830</v>
      </c>
      <c r="C19" s="56" t="s">
        <v>5</v>
      </c>
      <c r="D19" s="56" t="s">
        <v>9</v>
      </c>
      <c r="E19" s="56">
        <v>2019</v>
      </c>
      <c r="F19" s="56">
        <v>2162.29</v>
      </c>
      <c r="G19" t="s">
        <v>232</v>
      </c>
      <c r="H19">
        <v>2815.2</v>
      </c>
    </row>
    <row r="20" spans="1:8">
      <c r="A20" s="220">
        <v>43831</v>
      </c>
      <c r="B20" s="220">
        <v>44196</v>
      </c>
      <c r="C20" s="56" t="s">
        <v>5</v>
      </c>
      <c r="D20" s="56" t="s">
        <v>9</v>
      </c>
      <c r="E20" s="56">
        <v>2020</v>
      </c>
      <c r="F20" s="56">
        <v>597.19000000000005</v>
      </c>
      <c r="G20" t="s">
        <v>232</v>
      </c>
      <c r="H20">
        <v>831</v>
      </c>
    </row>
    <row r="21" spans="1:8">
      <c r="A21" s="220">
        <v>43831</v>
      </c>
      <c r="B21" s="220">
        <v>44196</v>
      </c>
      <c r="C21" s="56" t="s">
        <v>5</v>
      </c>
      <c r="D21" s="56" t="s">
        <v>9</v>
      </c>
      <c r="E21" s="56">
        <v>2020</v>
      </c>
      <c r="F21" s="56">
        <v>723.7</v>
      </c>
      <c r="G21" t="s">
        <v>232</v>
      </c>
      <c r="H21">
        <v>1007.04</v>
      </c>
    </row>
    <row r="22" spans="1:8">
      <c r="A22" s="220">
        <v>43466</v>
      </c>
      <c r="B22" s="220">
        <v>43830</v>
      </c>
      <c r="C22" s="56" t="s">
        <v>5</v>
      </c>
      <c r="D22" s="56" t="s">
        <v>9</v>
      </c>
      <c r="E22" s="56">
        <v>2019</v>
      </c>
      <c r="F22" s="56">
        <v>987.85</v>
      </c>
      <c r="G22" t="s">
        <v>232</v>
      </c>
      <c r="H22">
        <v>1286.1300000000001</v>
      </c>
    </row>
    <row r="23" spans="1:8">
      <c r="A23" s="220">
        <v>43831</v>
      </c>
      <c r="B23" s="220">
        <v>44196</v>
      </c>
      <c r="C23" s="56" t="s">
        <v>5</v>
      </c>
      <c r="D23" s="56" t="s">
        <v>9</v>
      </c>
      <c r="E23" s="56">
        <v>2020</v>
      </c>
      <c r="F23" s="56">
        <v>155.61000000000001</v>
      </c>
      <c r="G23" t="s">
        <v>232</v>
      </c>
      <c r="H23">
        <v>216.53</v>
      </c>
    </row>
    <row r="24" spans="1:8">
      <c r="A24" s="220">
        <v>43466</v>
      </c>
      <c r="B24" s="220">
        <v>43830</v>
      </c>
      <c r="C24" s="56" t="s">
        <v>5</v>
      </c>
      <c r="D24" s="56" t="s">
        <v>9</v>
      </c>
      <c r="E24" s="56">
        <v>2019</v>
      </c>
      <c r="F24" s="56">
        <v>1724.39</v>
      </c>
      <c r="G24" t="s">
        <v>232</v>
      </c>
      <c r="H24">
        <v>2245.08</v>
      </c>
    </row>
    <row r="25" spans="1:8">
      <c r="A25" s="220">
        <v>43831</v>
      </c>
      <c r="B25" s="220">
        <v>44196</v>
      </c>
      <c r="C25" s="56" t="s">
        <v>5</v>
      </c>
      <c r="D25" s="56" t="s">
        <v>9</v>
      </c>
      <c r="E25" s="56">
        <v>2020</v>
      </c>
      <c r="F25" s="56">
        <v>1889.09</v>
      </c>
      <c r="G25" t="s">
        <v>232</v>
      </c>
      <c r="H25">
        <v>2628.71</v>
      </c>
    </row>
    <row r="26" spans="1:8">
      <c r="A26" s="220">
        <v>43466</v>
      </c>
      <c r="B26" s="220">
        <v>43830</v>
      </c>
      <c r="C26" s="56" t="s">
        <v>5</v>
      </c>
      <c r="D26" s="56" t="s">
        <v>9</v>
      </c>
      <c r="E26" s="56">
        <v>2019</v>
      </c>
      <c r="F26" s="56">
        <v>927.3</v>
      </c>
      <c r="G26" t="s">
        <v>232</v>
      </c>
      <c r="H26">
        <v>1207.3</v>
      </c>
    </row>
    <row r="27" spans="1:8">
      <c r="A27" s="220">
        <v>43831</v>
      </c>
      <c r="B27" s="220">
        <v>44196</v>
      </c>
      <c r="C27" s="56" t="s">
        <v>5</v>
      </c>
      <c r="D27" s="56" t="s">
        <v>9</v>
      </c>
      <c r="E27" s="56">
        <v>2020</v>
      </c>
      <c r="F27" s="56">
        <v>1130.1300000000001</v>
      </c>
      <c r="G27" t="s">
        <v>232</v>
      </c>
      <c r="H27">
        <v>1572.6</v>
      </c>
    </row>
    <row r="28" spans="1:8">
      <c r="A28" s="220">
        <v>43466</v>
      </c>
      <c r="B28" s="220">
        <v>43830</v>
      </c>
      <c r="C28" s="56" t="s">
        <v>5</v>
      </c>
      <c r="D28" s="56" t="s">
        <v>9</v>
      </c>
      <c r="E28" s="56">
        <v>2019</v>
      </c>
      <c r="F28" s="56">
        <v>628.78</v>
      </c>
      <c r="G28" t="s">
        <v>232</v>
      </c>
      <c r="H28">
        <v>818.64</v>
      </c>
    </row>
    <row r="29" spans="1:8">
      <c r="A29" s="220">
        <v>43466</v>
      </c>
      <c r="B29" s="220">
        <v>43830</v>
      </c>
      <c r="C29" s="56" t="s">
        <v>5</v>
      </c>
      <c r="D29" s="56" t="s">
        <v>9</v>
      </c>
      <c r="E29" s="56">
        <v>2019</v>
      </c>
      <c r="F29" s="56">
        <v>724.63</v>
      </c>
      <c r="G29" t="s">
        <v>232</v>
      </c>
      <c r="H29">
        <v>943.44</v>
      </c>
    </row>
    <row r="30" spans="1:8">
      <c r="A30" s="220">
        <v>43466</v>
      </c>
      <c r="B30" s="220">
        <v>43830</v>
      </c>
      <c r="C30" s="56" t="s">
        <v>5</v>
      </c>
      <c r="D30" s="56" t="s">
        <v>9</v>
      </c>
      <c r="E30" s="56">
        <v>2019</v>
      </c>
      <c r="F30" s="56">
        <v>687.86</v>
      </c>
      <c r="G30" t="s">
        <v>232</v>
      </c>
      <c r="H30">
        <v>895.56</v>
      </c>
    </row>
    <row r="31" spans="1:8">
      <c r="A31" s="220">
        <v>43466</v>
      </c>
      <c r="B31" s="220">
        <v>43830</v>
      </c>
      <c r="C31" s="56" t="s">
        <v>5</v>
      </c>
      <c r="D31" s="56" t="s">
        <v>9</v>
      </c>
      <c r="E31" s="56">
        <v>2019</v>
      </c>
      <c r="F31" s="56">
        <v>514.66999999999996</v>
      </c>
      <c r="G31" t="s">
        <v>232</v>
      </c>
      <c r="H31">
        <v>670.08</v>
      </c>
    </row>
    <row r="32" spans="1:8">
      <c r="A32" s="220">
        <v>43831</v>
      </c>
      <c r="B32" s="220">
        <v>44196</v>
      </c>
      <c r="C32" s="56" t="s">
        <v>5</v>
      </c>
      <c r="D32" s="56" t="s">
        <v>9</v>
      </c>
      <c r="E32" s="56">
        <v>2020</v>
      </c>
      <c r="F32" s="56">
        <v>977.92</v>
      </c>
      <c r="G32" t="s">
        <v>232</v>
      </c>
      <c r="H32">
        <v>1360.8</v>
      </c>
    </row>
    <row r="33" spans="1:8">
      <c r="A33" s="220">
        <v>43831</v>
      </c>
      <c r="B33" s="220">
        <v>44196</v>
      </c>
      <c r="C33" s="56" t="s">
        <v>5</v>
      </c>
      <c r="D33" s="56" t="s">
        <v>9</v>
      </c>
      <c r="E33" s="56">
        <v>2020</v>
      </c>
      <c r="F33" s="56">
        <v>530.01</v>
      </c>
      <c r="G33" t="s">
        <v>232</v>
      </c>
      <c r="H33">
        <v>737.52</v>
      </c>
    </row>
    <row r="34" spans="1:8">
      <c r="A34" s="220">
        <v>43831</v>
      </c>
      <c r="B34" s="220">
        <v>44196</v>
      </c>
      <c r="C34" s="56" t="s">
        <v>5</v>
      </c>
      <c r="D34" s="56" t="s">
        <v>9</v>
      </c>
      <c r="E34" s="56">
        <v>2020</v>
      </c>
      <c r="F34" s="56">
        <v>2943.94</v>
      </c>
      <c r="G34" t="s">
        <v>232</v>
      </c>
      <c r="H34">
        <v>4096.5600000000004</v>
      </c>
    </row>
    <row r="35" spans="1:8">
      <c r="A35" s="220">
        <v>43466</v>
      </c>
      <c r="B35" s="220">
        <v>43830</v>
      </c>
      <c r="C35" s="56" t="s">
        <v>5</v>
      </c>
      <c r="D35" s="56" t="s">
        <v>9</v>
      </c>
      <c r="E35" s="56">
        <v>2019</v>
      </c>
      <c r="F35" s="56">
        <v>2474.2600000000002</v>
      </c>
      <c r="G35" t="s">
        <v>232</v>
      </c>
      <c r="H35">
        <v>3221.37</v>
      </c>
    </row>
    <row r="36" spans="1:8">
      <c r="A36" s="220">
        <v>43831</v>
      </c>
      <c r="B36" s="220">
        <v>44196</v>
      </c>
      <c r="C36" s="56" t="s">
        <v>5</v>
      </c>
      <c r="D36" s="56" t="s">
        <v>9</v>
      </c>
      <c r="E36" s="56">
        <v>2020</v>
      </c>
      <c r="F36" s="56">
        <v>1655.39</v>
      </c>
      <c r="G36" t="s">
        <v>232</v>
      </c>
      <c r="H36">
        <v>2303.52</v>
      </c>
    </row>
    <row r="37" spans="1:8">
      <c r="A37" s="220">
        <v>43466</v>
      </c>
      <c r="B37" s="220">
        <v>43830</v>
      </c>
      <c r="C37" s="56" t="s">
        <v>5</v>
      </c>
      <c r="D37" s="56" t="s">
        <v>9</v>
      </c>
      <c r="E37" s="56">
        <v>2019</v>
      </c>
      <c r="F37" s="56">
        <v>918.59</v>
      </c>
      <c r="G37" t="s">
        <v>232</v>
      </c>
      <c r="H37">
        <v>1195.96</v>
      </c>
    </row>
    <row r="38" spans="1:8">
      <c r="A38" s="220">
        <v>43466</v>
      </c>
      <c r="B38" s="220">
        <v>43830</v>
      </c>
      <c r="C38" s="56" t="s">
        <v>5</v>
      </c>
      <c r="D38" s="56" t="s">
        <v>9</v>
      </c>
      <c r="E38" s="56">
        <v>2019</v>
      </c>
      <c r="F38" s="56">
        <v>3997.93</v>
      </c>
      <c r="G38" t="s">
        <v>232</v>
      </c>
      <c r="H38">
        <v>5205.12</v>
      </c>
    </row>
    <row r="39" spans="1:8">
      <c r="A39" s="220">
        <v>43466</v>
      </c>
      <c r="B39" s="220">
        <v>43830</v>
      </c>
      <c r="C39" s="56" t="s">
        <v>5</v>
      </c>
      <c r="D39" s="56" t="s">
        <v>9</v>
      </c>
      <c r="E39" s="56">
        <v>2019</v>
      </c>
      <c r="F39" s="56">
        <v>791.55</v>
      </c>
      <c r="G39" t="s">
        <v>232</v>
      </c>
      <c r="H39">
        <v>1030.56</v>
      </c>
    </row>
    <row r="40" spans="1:8">
      <c r="A40" s="220">
        <v>43831</v>
      </c>
      <c r="B40" s="220">
        <v>44196</v>
      </c>
      <c r="C40" s="56" t="s">
        <v>5</v>
      </c>
      <c r="D40" s="56" t="s">
        <v>9</v>
      </c>
      <c r="E40" s="56">
        <v>2020</v>
      </c>
      <c r="F40" s="56">
        <v>1627.25</v>
      </c>
      <c r="G40" t="s">
        <v>232</v>
      </c>
      <c r="H40">
        <v>2264.36</v>
      </c>
    </row>
    <row r="41" spans="1:8">
      <c r="A41" s="220">
        <v>43831</v>
      </c>
      <c r="B41" s="220">
        <v>44196</v>
      </c>
      <c r="C41" s="56" t="s">
        <v>5</v>
      </c>
      <c r="D41" s="56" t="s">
        <v>9</v>
      </c>
      <c r="E41" s="56">
        <v>2020</v>
      </c>
      <c r="F41" s="56">
        <v>2022.07</v>
      </c>
      <c r="G41" t="s">
        <v>232</v>
      </c>
      <c r="H41">
        <v>2813.76</v>
      </c>
    </row>
    <row r="42" spans="1:8">
      <c r="A42" s="220">
        <v>43831</v>
      </c>
      <c r="B42" s="220">
        <v>44196</v>
      </c>
      <c r="C42" s="56" t="s">
        <v>5</v>
      </c>
      <c r="D42" s="56" t="s">
        <v>9</v>
      </c>
      <c r="E42" s="56">
        <v>2020</v>
      </c>
      <c r="F42" s="56">
        <v>1614.69</v>
      </c>
      <c r="G42" t="s">
        <v>232</v>
      </c>
      <c r="H42">
        <v>2246.88</v>
      </c>
    </row>
    <row r="43" spans="1:8">
      <c r="A43" s="220">
        <v>43831</v>
      </c>
      <c r="B43" s="220">
        <v>44196</v>
      </c>
      <c r="C43" s="56" t="s">
        <v>5</v>
      </c>
      <c r="D43" s="56" t="s">
        <v>9</v>
      </c>
      <c r="E43" s="56">
        <v>2020</v>
      </c>
      <c r="F43" s="56">
        <v>949.2</v>
      </c>
      <c r="G43" t="s">
        <v>232</v>
      </c>
      <c r="H43">
        <v>1320.84</v>
      </c>
    </row>
    <row r="44" spans="1:8">
      <c r="A44" s="220">
        <v>43831</v>
      </c>
      <c r="B44" s="220">
        <v>44196</v>
      </c>
      <c r="C44" s="56" t="s">
        <v>5</v>
      </c>
      <c r="D44" s="56" t="s">
        <v>9</v>
      </c>
      <c r="E44" s="56">
        <v>2020</v>
      </c>
      <c r="F44" s="56">
        <v>209.02</v>
      </c>
      <c r="G44" t="s">
        <v>232</v>
      </c>
      <c r="H44">
        <v>290.86</v>
      </c>
    </row>
    <row r="45" spans="1:8">
      <c r="A45" s="220">
        <v>43466</v>
      </c>
      <c r="B45" s="220">
        <v>43830</v>
      </c>
      <c r="C45" s="56" t="s">
        <v>5</v>
      </c>
      <c r="D45" s="56" t="s">
        <v>9</v>
      </c>
      <c r="E45" s="56">
        <v>2019</v>
      </c>
      <c r="F45" s="56">
        <v>2233.25</v>
      </c>
      <c r="G45" t="s">
        <v>232</v>
      </c>
      <c r="H45">
        <v>2907.59</v>
      </c>
    </row>
    <row r="46" spans="1:8">
      <c r="A46" s="220">
        <v>43831</v>
      </c>
      <c r="B46" s="220">
        <v>44196</v>
      </c>
      <c r="C46" s="56" t="s">
        <v>5</v>
      </c>
      <c r="D46" s="56" t="s">
        <v>9</v>
      </c>
      <c r="E46" s="56">
        <v>2020</v>
      </c>
      <c r="F46" s="56">
        <v>790.74</v>
      </c>
      <c r="G46" t="s">
        <v>232</v>
      </c>
      <c r="H46">
        <v>1100.33</v>
      </c>
    </row>
    <row r="47" spans="1:8">
      <c r="A47" s="220">
        <v>43466</v>
      </c>
      <c r="B47" s="220">
        <v>43830</v>
      </c>
      <c r="C47" s="56" t="s">
        <v>5</v>
      </c>
      <c r="D47" s="56" t="s">
        <v>9</v>
      </c>
      <c r="E47" s="56">
        <v>2019</v>
      </c>
      <c r="F47" s="56">
        <v>4318.62</v>
      </c>
      <c r="G47" t="s">
        <v>232</v>
      </c>
      <c r="H47">
        <v>5622.64</v>
      </c>
    </row>
    <row r="48" spans="1:8">
      <c r="A48" s="220">
        <v>43466</v>
      </c>
      <c r="B48" s="220">
        <v>43830</v>
      </c>
      <c r="C48" s="56" t="s">
        <v>5</v>
      </c>
      <c r="D48" s="56" t="s">
        <v>9</v>
      </c>
      <c r="E48" s="56">
        <v>2019</v>
      </c>
      <c r="F48" s="56">
        <v>841.32</v>
      </c>
      <c r="G48" t="s">
        <v>232</v>
      </c>
      <c r="H48">
        <v>1095.3599999999999</v>
      </c>
    </row>
    <row r="49" spans="1:8">
      <c r="A49" s="220">
        <v>43466</v>
      </c>
      <c r="B49" s="220">
        <v>43830</v>
      </c>
      <c r="C49" s="56" t="s">
        <v>5</v>
      </c>
      <c r="D49" s="56" t="s">
        <v>9</v>
      </c>
      <c r="E49" s="56">
        <v>2019</v>
      </c>
      <c r="F49" s="56">
        <v>3486.76</v>
      </c>
      <c r="G49" t="s">
        <v>232</v>
      </c>
      <c r="H49">
        <v>4539.6000000000004</v>
      </c>
    </row>
    <row r="50" spans="1:8">
      <c r="A50" s="220">
        <v>43466</v>
      </c>
      <c r="B50" s="220">
        <v>43830</v>
      </c>
      <c r="C50" s="56" t="s">
        <v>5</v>
      </c>
      <c r="D50" s="56" t="s">
        <v>9</v>
      </c>
      <c r="E50" s="56">
        <v>2019</v>
      </c>
      <c r="F50" s="56">
        <v>328.03</v>
      </c>
      <c r="G50" t="s">
        <v>232</v>
      </c>
      <c r="H50">
        <v>427.08</v>
      </c>
    </row>
    <row r="51" spans="1:8">
      <c r="A51" s="220">
        <v>43466</v>
      </c>
      <c r="B51" s="220">
        <v>43830</v>
      </c>
      <c r="C51" s="56" t="s">
        <v>5</v>
      </c>
      <c r="D51" s="56" t="s">
        <v>9</v>
      </c>
      <c r="E51" s="56">
        <v>2019</v>
      </c>
      <c r="F51" s="56">
        <v>1468.75</v>
      </c>
      <c r="G51" t="s">
        <v>232</v>
      </c>
      <c r="H51">
        <v>1912.24</v>
      </c>
    </row>
    <row r="52" spans="1:8">
      <c r="A52" s="220">
        <v>43466</v>
      </c>
      <c r="B52" s="220">
        <v>43830</v>
      </c>
      <c r="C52" s="56" t="s">
        <v>5</v>
      </c>
      <c r="D52" s="56" t="s">
        <v>9</v>
      </c>
      <c r="E52" s="56">
        <v>2019</v>
      </c>
      <c r="F52" s="56">
        <v>2145.71</v>
      </c>
      <c r="G52" t="s">
        <v>232</v>
      </c>
      <c r="H52">
        <v>2793.62</v>
      </c>
    </row>
    <row r="53" spans="1:8">
      <c r="A53" s="220">
        <v>43831</v>
      </c>
      <c r="B53" s="220">
        <v>44196</v>
      </c>
      <c r="C53" s="56" t="s">
        <v>5</v>
      </c>
      <c r="D53" s="56" t="s">
        <v>9</v>
      </c>
      <c r="E53" s="56">
        <v>2020</v>
      </c>
      <c r="F53" s="56">
        <v>2273.02</v>
      </c>
      <c r="G53" t="s">
        <v>232</v>
      </c>
      <c r="H53">
        <v>3162.96</v>
      </c>
    </row>
    <row r="54" spans="1:8">
      <c r="A54" s="220">
        <v>43466</v>
      </c>
      <c r="B54" s="220">
        <v>43830</v>
      </c>
      <c r="C54" s="56" t="s">
        <v>5</v>
      </c>
      <c r="D54" s="56" t="s">
        <v>9</v>
      </c>
      <c r="E54" s="56">
        <v>2019</v>
      </c>
      <c r="F54" s="56">
        <v>1019.51</v>
      </c>
      <c r="G54" t="s">
        <v>232</v>
      </c>
      <c r="H54">
        <v>1327.36</v>
      </c>
    </row>
    <row r="55" spans="1:8">
      <c r="A55" s="220">
        <v>43831</v>
      </c>
      <c r="B55" s="220">
        <v>44196</v>
      </c>
      <c r="C55" s="56" t="s">
        <v>5</v>
      </c>
      <c r="D55" s="56" t="s">
        <v>9</v>
      </c>
      <c r="E55" s="56">
        <v>2020</v>
      </c>
      <c r="F55" s="56">
        <v>653.33000000000004</v>
      </c>
      <c r="G55" t="s">
        <v>232</v>
      </c>
      <c r="H55">
        <v>909.12</v>
      </c>
    </row>
    <row r="56" spans="1:8">
      <c r="A56" s="220">
        <v>43831</v>
      </c>
      <c r="B56" s="220">
        <v>44196</v>
      </c>
      <c r="C56" s="56" t="s">
        <v>5</v>
      </c>
      <c r="D56" s="56" t="s">
        <v>9</v>
      </c>
      <c r="E56" s="56">
        <v>2020</v>
      </c>
      <c r="F56" s="56">
        <v>569.67999999999995</v>
      </c>
      <c r="G56" t="s">
        <v>232</v>
      </c>
      <c r="H56">
        <v>792.72</v>
      </c>
    </row>
    <row r="57" spans="1:8">
      <c r="A57" s="220">
        <v>43466</v>
      </c>
      <c r="B57" s="220">
        <v>43830</v>
      </c>
      <c r="C57" s="56" t="s">
        <v>5</v>
      </c>
      <c r="D57" s="56" t="s">
        <v>9</v>
      </c>
      <c r="E57" s="56">
        <v>2019</v>
      </c>
      <c r="F57" s="56">
        <v>3093.93</v>
      </c>
      <c r="G57" t="s">
        <v>232</v>
      </c>
      <c r="H57">
        <v>4028.16</v>
      </c>
    </row>
    <row r="58" spans="1:8">
      <c r="A58" s="220">
        <v>43466</v>
      </c>
      <c r="B58" s="220">
        <v>43830</v>
      </c>
      <c r="C58" s="56" t="s">
        <v>5</v>
      </c>
      <c r="D58" s="56" t="s">
        <v>9</v>
      </c>
      <c r="E58" s="56">
        <v>2019</v>
      </c>
      <c r="F58" s="56">
        <v>1743.1</v>
      </c>
      <c r="G58" t="s">
        <v>232</v>
      </c>
      <c r="H58">
        <v>2269.44</v>
      </c>
    </row>
    <row r="59" spans="1:8">
      <c r="A59" s="220">
        <v>43466</v>
      </c>
      <c r="B59" s="220">
        <v>43830</v>
      </c>
      <c r="C59" s="56" t="s">
        <v>5</v>
      </c>
      <c r="D59" s="56" t="s">
        <v>9</v>
      </c>
      <c r="E59" s="56">
        <v>2019</v>
      </c>
      <c r="F59" s="56">
        <v>3365.16</v>
      </c>
      <c r="G59" t="s">
        <v>232</v>
      </c>
      <c r="H59">
        <v>4381.28</v>
      </c>
    </row>
    <row r="60" spans="1:8">
      <c r="A60" s="220">
        <v>43466</v>
      </c>
      <c r="B60" s="220">
        <v>43830</v>
      </c>
      <c r="C60" s="56" t="s">
        <v>5</v>
      </c>
      <c r="D60" s="56" t="s">
        <v>9</v>
      </c>
      <c r="E60" s="56">
        <v>2019</v>
      </c>
      <c r="F60" s="56">
        <v>334.02</v>
      </c>
      <c r="G60" t="s">
        <v>232</v>
      </c>
      <c r="H60">
        <v>434.88</v>
      </c>
    </row>
    <row r="61" spans="1:8">
      <c r="A61" s="220">
        <v>43831</v>
      </c>
      <c r="B61" s="220">
        <v>44196</v>
      </c>
      <c r="C61" s="56" t="s">
        <v>5</v>
      </c>
      <c r="D61" s="56" t="s">
        <v>9</v>
      </c>
      <c r="E61" s="56">
        <v>2020</v>
      </c>
      <c r="F61" s="56">
        <v>734.65</v>
      </c>
      <c r="G61" t="s">
        <v>232</v>
      </c>
      <c r="H61">
        <v>1022.28</v>
      </c>
    </row>
    <row r="62" spans="1:8">
      <c r="A62" s="220">
        <v>43831</v>
      </c>
      <c r="B62" s="220">
        <v>44196</v>
      </c>
      <c r="C62" s="56" t="s">
        <v>5</v>
      </c>
      <c r="D62" s="56" t="s">
        <v>9</v>
      </c>
      <c r="E62" s="56">
        <v>2020</v>
      </c>
      <c r="F62" s="56">
        <v>482.82</v>
      </c>
      <c r="G62" t="s">
        <v>232</v>
      </c>
      <c r="H62">
        <v>671.86</v>
      </c>
    </row>
    <row r="63" spans="1:8">
      <c r="A63" s="220">
        <v>43466</v>
      </c>
      <c r="B63" s="220">
        <v>43830</v>
      </c>
      <c r="C63" s="56" t="s">
        <v>5</v>
      </c>
      <c r="D63" s="56" t="s">
        <v>9</v>
      </c>
      <c r="E63" s="56">
        <v>2019</v>
      </c>
      <c r="F63" s="56">
        <v>1671.82</v>
      </c>
      <c r="G63" t="s">
        <v>232</v>
      </c>
      <c r="H63">
        <v>2176.63</v>
      </c>
    </row>
    <row r="64" spans="1:8">
      <c r="A64" s="220">
        <v>43466</v>
      </c>
      <c r="B64" s="220">
        <v>43830</v>
      </c>
      <c r="C64" s="56" t="s">
        <v>5</v>
      </c>
      <c r="D64" s="56" t="s">
        <v>9</v>
      </c>
      <c r="E64" s="56">
        <v>2019</v>
      </c>
      <c r="F64" s="56">
        <v>1998.17</v>
      </c>
      <c r="G64" t="s">
        <v>232</v>
      </c>
      <c r="H64">
        <v>2601.52</v>
      </c>
    </row>
    <row r="65" spans="1:8">
      <c r="A65" s="220">
        <v>43466</v>
      </c>
      <c r="B65" s="220">
        <v>43830</v>
      </c>
      <c r="C65" s="56" t="s">
        <v>5</v>
      </c>
      <c r="D65" s="56" t="s">
        <v>9</v>
      </c>
      <c r="E65" s="56">
        <v>2019</v>
      </c>
      <c r="F65" s="56">
        <v>5253.51</v>
      </c>
      <c r="G65" t="s">
        <v>232</v>
      </c>
      <c r="H65">
        <v>6839.83</v>
      </c>
    </row>
    <row r="66" spans="1:8">
      <c r="A66" s="220">
        <v>43466</v>
      </c>
      <c r="B66" s="220">
        <v>43830</v>
      </c>
      <c r="C66" s="56" t="s">
        <v>5</v>
      </c>
      <c r="D66" s="56" t="s">
        <v>9</v>
      </c>
      <c r="E66" s="56">
        <v>2019</v>
      </c>
      <c r="F66" s="56">
        <v>1449.27</v>
      </c>
      <c r="G66" t="s">
        <v>232</v>
      </c>
      <c r="H66">
        <v>1886.88</v>
      </c>
    </row>
    <row r="67" spans="1:8">
      <c r="A67" s="220">
        <v>43466</v>
      </c>
      <c r="B67" s="220">
        <v>43830</v>
      </c>
      <c r="C67" s="56" t="s">
        <v>5</v>
      </c>
      <c r="D67" s="56" t="s">
        <v>9</v>
      </c>
      <c r="E67" s="56">
        <v>2019</v>
      </c>
      <c r="F67" s="56">
        <v>2345.6999999999998</v>
      </c>
      <c r="G67" t="s">
        <v>232</v>
      </c>
      <c r="H67">
        <v>3054</v>
      </c>
    </row>
    <row r="68" spans="1:8">
      <c r="A68" s="220">
        <v>43466</v>
      </c>
      <c r="B68" s="220">
        <v>43830</v>
      </c>
      <c r="C68" s="56" t="s">
        <v>5</v>
      </c>
      <c r="D68" s="56" t="s">
        <v>9</v>
      </c>
      <c r="E68" s="56">
        <v>2019</v>
      </c>
      <c r="F68" s="56">
        <v>1816.47</v>
      </c>
      <c r="G68" t="s">
        <v>232</v>
      </c>
      <c r="H68">
        <v>2364.96</v>
      </c>
    </row>
    <row r="69" spans="1:8">
      <c r="A69" s="220">
        <v>43831</v>
      </c>
      <c r="B69" s="220">
        <v>44196</v>
      </c>
      <c r="C69" s="56" t="s">
        <v>5</v>
      </c>
      <c r="D69" s="56" t="s">
        <v>9</v>
      </c>
      <c r="E69" s="56">
        <v>2020</v>
      </c>
      <c r="F69" s="56">
        <v>723.7</v>
      </c>
      <c r="G69" t="s">
        <v>232</v>
      </c>
      <c r="H69">
        <v>1007.04</v>
      </c>
    </row>
    <row r="70" spans="1:8">
      <c r="A70" s="220">
        <v>43466</v>
      </c>
      <c r="B70" s="220">
        <v>43830</v>
      </c>
      <c r="C70" s="56" t="s">
        <v>5</v>
      </c>
      <c r="D70" s="56" t="s">
        <v>9</v>
      </c>
      <c r="E70" s="56">
        <v>2019</v>
      </c>
      <c r="F70" s="56">
        <v>1029.6199999999999</v>
      </c>
      <c r="G70" t="s">
        <v>232</v>
      </c>
      <c r="H70">
        <v>1340.52</v>
      </c>
    </row>
    <row r="71" spans="1:8">
      <c r="A71" s="220">
        <v>43831</v>
      </c>
      <c r="B71" s="220">
        <v>44196</v>
      </c>
      <c r="C71" s="56" t="s">
        <v>5</v>
      </c>
      <c r="D71" s="56" t="s">
        <v>9</v>
      </c>
      <c r="E71" s="56">
        <v>2020</v>
      </c>
      <c r="F71" s="56">
        <v>1343.27</v>
      </c>
      <c r="G71" t="s">
        <v>232</v>
      </c>
      <c r="H71">
        <v>1869.19</v>
      </c>
    </row>
    <row r="72" spans="1:8">
      <c r="A72" s="220">
        <v>43466</v>
      </c>
      <c r="B72" s="220">
        <v>43830</v>
      </c>
      <c r="C72" s="56" t="s">
        <v>5</v>
      </c>
      <c r="D72" s="56" t="s">
        <v>9</v>
      </c>
      <c r="E72" s="56">
        <v>2019</v>
      </c>
      <c r="F72" s="56">
        <v>724.63</v>
      </c>
      <c r="G72" t="s">
        <v>232</v>
      </c>
      <c r="H72">
        <v>943.44</v>
      </c>
    </row>
    <row r="73" spans="1:8">
      <c r="A73" s="220">
        <v>43466</v>
      </c>
      <c r="B73" s="220">
        <v>43830</v>
      </c>
      <c r="C73" s="56" t="s">
        <v>5</v>
      </c>
      <c r="D73" s="56" t="s">
        <v>9</v>
      </c>
      <c r="E73" s="56">
        <v>2019</v>
      </c>
      <c r="F73" s="56">
        <v>3166.19</v>
      </c>
      <c r="G73" t="s">
        <v>232</v>
      </c>
      <c r="H73">
        <v>4122.24</v>
      </c>
    </row>
    <row r="74" spans="1:8">
      <c r="A74" s="220">
        <v>43466</v>
      </c>
      <c r="B74" s="220">
        <v>43830</v>
      </c>
      <c r="C74" s="56" t="s">
        <v>5</v>
      </c>
      <c r="D74" s="56" t="s">
        <v>9</v>
      </c>
      <c r="E74" s="56">
        <v>2019</v>
      </c>
      <c r="F74" s="56">
        <v>773.48</v>
      </c>
      <c r="G74" t="s">
        <v>232</v>
      </c>
      <c r="H74">
        <v>1007.04</v>
      </c>
    </row>
    <row r="75" spans="1:8">
      <c r="A75" s="220">
        <v>43466</v>
      </c>
      <c r="B75" s="220">
        <v>43830</v>
      </c>
      <c r="C75" s="56" t="s">
        <v>5</v>
      </c>
      <c r="D75" s="56" t="s">
        <v>9</v>
      </c>
      <c r="E75" s="56">
        <v>2019</v>
      </c>
      <c r="F75" s="56">
        <v>1172.8499999999999</v>
      </c>
      <c r="G75" t="s">
        <v>232</v>
      </c>
      <c r="H75">
        <v>1527</v>
      </c>
    </row>
    <row r="76" spans="1:8">
      <c r="A76" s="220">
        <v>43831</v>
      </c>
      <c r="B76" s="220">
        <v>44196</v>
      </c>
      <c r="C76" s="56" t="s">
        <v>5</v>
      </c>
      <c r="D76" s="56" t="s">
        <v>9</v>
      </c>
      <c r="E76" s="56">
        <v>2020</v>
      </c>
      <c r="F76" s="56">
        <v>1655.39</v>
      </c>
      <c r="G76" t="s">
        <v>232</v>
      </c>
      <c r="H76">
        <v>2303.52</v>
      </c>
    </row>
    <row r="77" spans="1:8">
      <c r="A77" s="220">
        <v>43466</v>
      </c>
      <c r="B77" s="220">
        <v>43830</v>
      </c>
      <c r="C77" s="56" t="s">
        <v>5</v>
      </c>
      <c r="D77" s="56" t="s">
        <v>9</v>
      </c>
      <c r="E77" s="56">
        <v>2019</v>
      </c>
      <c r="F77" s="56">
        <v>82.19</v>
      </c>
      <c r="G77" t="s">
        <v>232</v>
      </c>
      <c r="H77">
        <v>107.01</v>
      </c>
    </row>
    <row r="78" spans="1:8">
      <c r="A78" s="220">
        <v>43831</v>
      </c>
      <c r="B78" s="220">
        <v>44196</v>
      </c>
      <c r="C78" s="56" t="s">
        <v>5</v>
      </c>
      <c r="D78" s="56" t="s">
        <v>9</v>
      </c>
      <c r="E78" s="56">
        <v>2020</v>
      </c>
      <c r="F78" s="56">
        <v>364.18</v>
      </c>
      <c r="G78" t="s">
        <v>232</v>
      </c>
      <c r="H78">
        <v>506.76</v>
      </c>
    </row>
    <row r="79" spans="1:8">
      <c r="A79" s="220">
        <v>43831</v>
      </c>
      <c r="B79" s="220">
        <v>44196</v>
      </c>
      <c r="C79" s="56" t="s">
        <v>5</v>
      </c>
      <c r="D79" s="56" t="s">
        <v>9</v>
      </c>
      <c r="E79" s="56">
        <v>2020</v>
      </c>
      <c r="F79" s="56">
        <v>734.65</v>
      </c>
      <c r="G79" t="s">
        <v>232</v>
      </c>
      <c r="H79">
        <v>1022.28</v>
      </c>
    </row>
    <row r="80" spans="1:8">
      <c r="A80" s="220">
        <v>43466</v>
      </c>
      <c r="B80" s="220">
        <v>43830</v>
      </c>
      <c r="C80" s="56" t="s">
        <v>5</v>
      </c>
      <c r="D80" s="56" t="s">
        <v>9</v>
      </c>
      <c r="E80" s="56">
        <v>2019</v>
      </c>
      <c r="F80" s="56">
        <v>595.65</v>
      </c>
      <c r="G80" t="s">
        <v>232</v>
      </c>
      <c r="H80">
        <v>775.51</v>
      </c>
    </row>
    <row r="81" spans="1:8">
      <c r="A81" s="220">
        <v>43831</v>
      </c>
      <c r="B81" s="220">
        <v>44196</v>
      </c>
      <c r="C81" s="56" t="s">
        <v>5</v>
      </c>
      <c r="D81" s="56" t="s">
        <v>9</v>
      </c>
      <c r="E81" s="56">
        <v>2020</v>
      </c>
      <c r="F81" s="56">
        <v>862.62</v>
      </c>
      <c r="G81" t="s">
        <v>232</v>
      </c>
      <c r="H81">
        <v>1200.3599999999999</v>
      </c>
    </row>
    <row r="82" spans="1:8">
      <c r="A82" s="220">
        <v>43831</v>
      </c>
      <c r="B82" s="220">
        <v>44196</v>
      </c>
      <c r="C82" s="56" t="s">
        <v>5</v>
      </c>
      <c r="D82" s="56" t="s">
        <v>9</v>
      </c>
      <c r="E82" s="56">
        <v>2020</v>
      </c>
      <c r="F82" s="56">
        <v>1935.69</v>
      </c>
      <c r="G82" t="s">
        <v>232</v>
      </c>
      <c r="H82">
        <v>2693.56</v>
      </c>
    </row>
    <row r="83" spans="1:8">
      <c r="A83" s="220">
        <v>43466</v>
      </c>
      <c r="B83" s="220">
        <v>43830</v>
      </c>
      <c r="C83" s="56" t="s">
        <v>5</v>
      </c>
      <c r="D83" s="56" t="s">
        <v>9</v>
      </c>
      <c r="E83" s="56">
        <v>2019</v>
      </c>
      <c r="F83" s="56">
        <v>681.18</v>
      </c>
      <c r="G83" t="s">
        <v>232</v>
      </c>
      <c r="H83">
        <v>886.86</v>
      </c>
    </row>
    <row r="84" spans="1:8">
      <c r="A84" s="220">
        <v>43466</v>
      </c>
      <c r="B84" s="220">
        <v>43830</v>
      </c>
      <c r="C84" s="56" t="s">
        <v>5</v>
      </c>
      <c r="D84" s="56" t="s">
        <v>9</v>
      </c>
      <c r="E84" s="56">
        <v>2019</v>
      </c>
      <c r="F84" s="56">
        <v>401.8</v>
      </c>
      <c r="G84" t="s">
        <v>232</v>
      </c>
      <c r="H84">
        <v>523.12</v>
      </c>
    </row>
    <row r="85" spans="1:8">
      <c r="A85" s="220">
        <v>43831</v>
      </c>
      <c r="B85" s="220">
        <v>44196</v>
      </c>
      <c r="C85" s="56" t="s">
        <v>5</v>
      </c>
      <c r="D85" s="56" t="s">
        <v>9</v>
      </c>
      <c r="E85" s="56">
        <v>2020</v>
      </c>
      <c r="F85" s="56">
        <v>949.2</v>
      </c>
      <c r="G85" t="s">
        <v>232</v>
      </c>
      <c r="H85">
        <v>1320.84</v>
      </c>
    </row>
    <row r="86" spans="1:8">
      <c r="A86" s="220">
        <v>43466</v>
      </c>
      <c r="B86" s="220">
        <v>43830</v>
      </c>
      <c r="C86" s="56" t="s">
        <v>5</v>
      </c>
      <c r="D86" s="56" t="s">
        <v>9</v>
      </c>
      <c r="E86" s="56">
        <v>2019</v>
      </c>
      <c r="F86" s="56">
        <v>687.86</v>
      </c>
      <c r="G86" t="s">
        <v>232</v>
      </c>
      <c r="H86">
        <v>895.56</v>
      </c>
    </row>
    <row r="87" spans="1:8">
      <c r="A87" s="220">
        <v>43466</v>
      </c>
      <c r="B87" s="220">
        <v>43830</v>
      </c>
      <c r="C87" s="56" t="s">
        <v>5</v>
      </c>
      <c r="D87" s="56" t="s">
        <v>9</v>
      </c>
      <c r="E87" s="56">
        <v>2019</v>
      </c>
      <c r="F87" s="56">
        <v>2026.98</v>
      </c>
      <c r="G87" t="s">
        <v>232</v>
      </c>
      <c r="H87">
        <v>2639.04</v>
      </c>
    </row>
    <row r="88" spans="1:8">
      <c r="A88" s="220">
        <v>43466</v>
      </c>
      <c r="B88" s="220">
        <v>43830</v>
      </c>
      <c r="C88" s="56" t="s">
        <v>5</v>
      </c>
      <c r="D88" s="56" t="s">
        <v>9</v>
      </c>
      <c r="E88" s="56">
        <v>2019</v>
      </c>
      <c r="F88" s="56">
        <v>908.23</v>
      </c>
      <c r="G88" t="s">
        <v>232</v>
      </c>
      <c r="H88">
        <v>1182.48</v>
      </c>
    </row>
    <row r="89" spans="1:8">
      <c r="A89" s="220">
        <v>43466</v>
      </c>
      <c r="B89" s="220">
        <v>43830</v>
      </c>
      <c r="C89" s="56" t="s">
        <v>5</v>
      </c>
      <c r="D89" s="56" t="s">
        <v>9</v>
      </c>
      <c r="E89" s="56">
        <v>2019</v>
      </c>
      <c r="F89" s="56">
        <v>131.19</v>
      </c>
      <c r="G89" t="s">
        <v>232</v>
      </c>
      <c r="H89">
        <v>170.8</v>
      </c>
    </row>
    <row r="90" spans="1:8">
      <c r="A90" s="220">
        <v>43466</v>
      </c>
      <c r="B90" s="220">
        <v>43830</v>
      </c>
      <c r="C90" s="56" t="s">
        <v>5</v>
      </c>
      <c r="D90" s="56" t="s">
        <v>9</v>
      </c>
      <c r="E90" s="56">
        <v>2019</v>
      </c>
      <c r="F90" s="56">
        <v>7188.96</v>
      </c>
      <c r="G90" t="s">
        <v>232</v>
      </c>
      <c r="H90">
        <v>9359.69</v>
      </c>
    </row>
    <row r="91" spans="1:8">
      <c r="A91" s="220">
        <v>43466</v>
      </c>
      <c r="B91" s="220">
        <v>43830</v>
      </c>
      <c r="C91" s="56" t="s">
        <v>5</v>
      </c>
      <c r="D91" s="56" t="s">
        <v>9</v>
      </c>
      <c r="E91" s="56">
        <v>2019</v>
      </c>
      <c r="F91" s="56">
        <v>724.63</v>
      </c>
      <c r="G91" t="s">
        <v>232</v>
      </c>
      <c r="H91">
        <v>943.44</v>
      </c>
    </row>
    <row r="92" spans="1:8">
      <c r="A92" s="220">
        <v>43466</v>
      </c>
      <c r="B92" s="220">
        <v>43830</v>
      </c>
      <c r="C92" s="56" t="s">
        <v>5</v>
      </c>
      <c r="D92" s="56" t="s">
        <v>9</v>
      </c>
      <c r="E92" s="56">
        <v>2019</v>
      </c>
      <c r="F92" s="56">
        <v>2107.88</v>
      </c>
      <c r="G92" t="s">
        <v>232</v>
      </c>
      <c r="H92">
        <v>2744.36</v>
      </c>
    </row>
    <row r="93" spans="1:8">
      <c r="A93" s="220">
        <v>43831</v>
      </c>
      <c r="B93" s="220">
        <v>44196</v>
      </c>
      <c r="C93" s="56" t="s">
        <v>5</v>
      </c>
      <c r="D93" s="56" t="s">
        <v>9</v>
      </c>
      <c r="E93" s="56">
        <v>2020</v>
      </c>
      <c r="F93" s="56">
        <v>364.18</v>
      </c>
      <c r="G93" t="s">
        <v>232</v>
      </c>
      <c r="H93">
        <v>506.76</v>
      </c>
    </row>
    <row r="94" spans="1:8">
      <c r="A94" s="220">
        <v>43466</v>
      </c>
      <c r="B94" s="220">
        <v>43830</v>
      </c>
      <c r="C94" s="56" t="s">
        <v>5</v>
      </c>
      <c r="D94" s="56" t="s">
        <v>9</v>
      </c>
      <c r="E94" s="56">
        <v>2019</v>
      </c>
      <c r="F94" s="56">
        <v>1724.39</v>
      </c>
      <c r="G94" t="s">
        <v>232</v>
      </c>
      <c r="H94">
        <v>2245.08</v>
      </c>
    </row>
    <row r="95" spans="1:8">
      <c r="A95" s="220">
        <v>43831</v>
      </c>
      <c r="B95" s="220">
        <v>44196</v>
      </c>
      <c r="C95" s="56" t="s">
        <v>5</v>
      </c>
      <c r="D95" s="56" t="s">
        <v>9</v>
      </c>
      <c r="E95" s="56">
        <v>2020</v>
      </c>
      <c r="F95" s="56">
        <v>2475.2399999999998</v>
      </c>
      <c r="G95" t="s">
        <v>232</v>
      </c>
      <c r="H95">
        <v>3444.36</v>
      </c>
    </row>
    <row r="96" spans="1:8">
      <c r="A96" s="220">
        <v>43466</v>
      </c>
      <c r="B96" s="220">
        <v>43830</v>
      </c>
      <c r="C96" s="56" t="s">
        <v>5</v>
      </c>
      <c r="D96" s="56" t="s">
        <v>9</v>
      </c>
      <c r="E96" s="56">
        <v>2019</v>
      </c>
      <c r="F96" s="56">
        <v>589.79</v>
      </c>
      <c r="G96" t="s">
        <v>232</v>
      </c>
      <c r="H96">
        <v>767.88</v>
      </c>
    </row>
    <row r="97" spans="1:8">
      <c r="A97" s="220">
        <v>43831</v>
      </c>
      <c r="B97" s="220">
        <v>44196</v>
      </c>
      <c r="C97" s="56" t="s">
        <v>5</v>
      </c>
      <c r="D97" s="56" t="s">
        <v>9</v>
      </c>
      <c r="E97" s="56">
        <v>2020</v>
      </c>
      <c r="F97" s="56">
        <v>4958.2700000000004</v>
      </c>
      <c r="G97" t="s">
        <v>232</v>
      </c>
      <c r="H97">
        <v>6899.55</v>
      </c>
    </row>
    <row r="98" spans="1:8">
      <c r="A98" s="220">
        <v>43831</v>
      </c>
      <c r="B98" s="220">
        <v>44196</v>
      </c>
      <c r="C98" s="56" t="s">
        <v>5</v>
      </c>
      <c r="D98" s="56" t="s">
        <v>9</v>
      </c>
      <c r="E98" s="56">
        <v>2020</v>
      </c>
      <c r="F98" s="56">
        <v>1376.33</v>
      </c>
      <c r="G98" t="s">
        <v>232</v>
      </c>
      <c r="H98">
        <v>1915.2</v>
      </c>
    </row>
    <row r="99" spans="1:8">
      <c r="A99" s="220">
        <v>43831</v>
      </c>
      <c r="B99" s="220">
        <v>44196</v>
      </c>
      <c r="C99" s="56" t="s">
        <v>5</v>
      </c>
      <c r="D99" s="56" t="s">
        <v>9</v>
      </c>
      <c r="E99" s="56">
        <v>2020</v>
      </c>
      <c r="F99" s="56">
        <v>935.67</v>
      </c>
      <c r="G99" t="s">
        <v>232</v>
      </c>
      <c r="H99">
        <v>1302</v>
      </c>
    </row>
    <row r="100" spans="1:8">
      <c r="A100" s="220">
        <v>43466</v>
      </c>
      <c r="B100" s="220">
        <v>43830</v>
      </c>
      <c r="C100" s="56" t="s">
        <v>5</v>
      </c>
      <c r="D100" s="56" t="s">
        <v>9</v>
      </c>
      <c r="E100" s="56">
        <v>2019</v>
      </c>
      <c r="F100" s="56">
        <v>628.78</v>
      </c>
      <c r="G100" t="s">
        <v>232</v>
      </c>
      <c r="H100">
        <v>818.64</v>
      </c>
    </row>
    <row r="101" spans="1:8">
      <c r="A101" s="220">
        <v>43831</v>
      </c>
      <c r="B101" s="220">
        <v>44196</v>
      </c>
      <c r="C101" s="56" t="s">
        <v>5</v>
      </c>
      <c r="D101" s="56" t="s">
        <v>9</v>
      </c>
      <c r="E101" s="56">
        <v>2020</v>
      </c>
      <c r="F101" s="56">
        <v>360.18</v>
      </c>
      <c r="G101" t="s">
        <v>232</v>
      </c>
      <c r="H101">
        <v>501.2</v>
      </c>
    </row>
    <row r="102" spans="1:8">
      <c r="A102" s="220">
        <v>43466</v>
      </c>
      <c r="B102" s="220">
        <v>43830</v>
      </c>
      <c r="C102" s="56" t="s">
        <v>5</v>
      </c>
      <c r="D102" s="56" t="s">
        <v>9</v>
      </c>
      <c r="E102" s="56">
        <v>2019</v>
      </c>
      <c r="F102" s="56">
        <v>791.55</v>
      </c>
      <c r="G102" t="s">
        <v>232</v>
      </c>
      <c r="H102">
        <v>1030.56</v>
      </c>
    </row>
    <row r="103" spans="1:8">
      <c r="A103" s="220">
        <v>43466</v>
      </c>
      <c r="B103" s="220">
        <v>43830</v>
      </c>
      <c r="C103" s="56" t="s">
        <v>5</v>
      </c>
      <c r="D103" s="56" t="s">
        <v>9</v>
      </c>
      <c r="E103" s="56">
        <v>2019</v>
      </c>
      <c r="F103" s="56">
        <v>850.08</v>
      </c>
      <c r="G103" t="s">
        <v>232</v>
      </c>
      <c r="H103">
        <v>1106.76</v>
      </c>
    </row>
    <row r="104" spans="1:8">
      <c r="A104" s="220">
        <v>43831</v>
      </c>
      <c r="B104" s="220">
        <v>44196</v>
      </c>
      <c r="C104" s="56" t="s">
        <v>5</v>
      </c>
      <c r="D104" s="56" t="s">
        <v>9</v>
      </c>
      <c r="E104" s="56">
        <v>2020</v>
      </c>
      <c r="F104" s="56">
        <v>2422.33</v>
      </c>
      <c r="G104" t="s">
        <v>232</v>
      </c>
      <c r="H104">
        <v>3370.73</v>
      </c>
    </row>
    <row r="105" spans="1:8">
      <c r="A105" s="220">
        <v>43466</v>
      </c>
      <c r="B105" s="220">
        <v>43830</v>
      </c>
      <c r="C105" s="56" t="s">
        <v>5</v>
      </c>
      <c r="D105" s="56" t="s">
        <v>9</v>
      </c>
      <c r="E105" s="56">
        <v>2019</v>
      </c>
      <c r="F105" s="56">
        <v>1029.6199999999999</v>
      </c>
      <c r="G105" t="s">
        <v>232</v>
      </c>
      <c r="H105">
        <v>1340.52</v>
      </c>
    </row>
    <row r="106" spans="1:8">
      <c r="A106" s="220">
        <v>43466</v>
      </c>
      <c r="B106" s="220">
        <v>43830</v>
      </c>
      <c r="C106" s="56" t="s">
        <v>5</v>
      </c>
      <c r="D106" s="56" t="s">
        <v>9</v>
      </c>
      <c r="E106" s="56">
        <v>2019</v>
      </c>
      <c r="F106" s="56">
        <v>1146.2</v>
      </c>
      <c r="G106" t="s">
        <v>232</v>
      </c>
      <c r="H106">
        <v>1492.3</v>
      </c>
    </row>
    <row r="107" spans="1:8">
      <c r="A107" s="220">
        <v>43831</v>
      </c>
      <c r="B107" s="220">
        <v>44196</v>
      </c>
      <c r="C107" s="56" t="s">
        <v>5</v>
      </c>
      <c r="D107" s="56" t="s">
        <v>9</v>
      </c>
      <c r="E107" s="56">
        <v>2020</v>
      </c>
      <c r="F107" s="56">
        <v>2129.88</v>
      </c>
      <c r="G107" t="s">
        <v>232</v>
      </c>
      <c r="H107">
        <v>2963.78</v>
      </c>
    </row>
    <row r="108" spans="1:8">
      <c r="A108" s="220">
        <v>43831</v>
      </c>
      <c r="B108" s="220">
        <v>44196</v>
      </c>
      <c r="C108" s="56" t="s">
        <v>5</v>
      </c>
      <c r="D108" s="56" t="s">
        <v>9</v>
      </c>
      <c r="E108" s="56">
        <v>2020</v>
      </c>
      <c r="F108" s="56">
        <v>107.47</v>
      </c>
      <c r="G108" t="s">
        <v>232</v>
      </c>
      <c r="H108">
        <v>149.55000000000001</v>
      </c>
    </row>
    <row r="109" spans="1:8">
      <c r="A109" s="220">
        <v>43831</v>
      </c>
      <c r="B109" s="220">
        <v>44196</v>
      </c>
      <c r="C109" s="56" t="s">
        <v>5</v>
      </c>
      <c r="D109" s="56" t="s">
        <v>9</v>
      </c>
      <c r="E109" s="56">
        <v>2020</v>
      </c>
      <c r="F109" s="56">
        <v>420.2</v>
      </c>
      <c r="G109" t="s">
        <v>232</v>
      </c>
      <c r="H109">
        <v>584.72</v>
      </c>
    </row>
    <row r="110" spans="1:8">
      <c r="A110" s="220">
        <v>43466</v>
      </c>
      <c r="B110" s="220">
        <v>43830</v>
      </c>
      <c r="C110" s="56" t="s">
        <v>5</v>
      </c>
      <c r="D110" s="56" t="s">
        <v>9</v>
      </c>
      <c r="E110" s="56">
        <v>2019</v>
      </c>
      <c r="F110" s="56">
        <v>634.73</v>
      </c>
      <c r="G110" t="s">
        <v>232</v>
      </c>
      <c r="H110">
        <v>826.39</v>
      </c>
    </row>
    <row r="111" spans="1:8">
      <c r="A111" s="220">
        <v>43466</v>
      </c>
      <c r="B111" s="220">
        <v>43830</v>
      </c>
      <c r="C111" s="56" t="s">
        <v>5</v>
      </c>
      <c r="D111" s="56" t="s">
        <v>9</v>
      </c>
      <c r="E111" s="56">
        <v>2019</v>
      </c>
      <c r="F111" s="56">
        <v>1588.06</v>
      </c>
      <c r="G111" t="s">
        <v>232</v>
      </c>
      <c r="H111">
        <v>2067.58</v>
      </c>
    </row>
    <row r="112" spans="1:8">
      <c r="A112" s="220">
        <v>43831</v>
      </c>
      <c r="B112" s="220">
        <v>44196</v>
      </c>
      <c r="C112" s="56" t="s">
        <v>5</v>
      </c>
      <c r="D112" s="56" t="s">
        <v>9</v>
      </c>
      <c r="E112" s="56">
        <v>2020</v>
      </c>
      <c r="F112" s="56">
        <v>364.18</v>
      </c>
      <c r="G112" t="s">
        <v>232</v>
      </c>
      <c r="H112">
        <v>506.76</v>
      </c>
    </row>
    <row r="113" spans="1:8">
      <c r="A113" s="220">
        <v>43831</v>
      </c>
      <c r="B113" s="220">
        <v>44196</v>
      </c>
      <c r="C113" s="56" t="s">
        <v>5</v>
      </c>
      <c r="D113" s="56" t="s">
        <v>9</v>
      </c>
      <c r="E113" s="56">
        <v>2020</v>
      </c>
      <c r="F113" s="56">
        <v>757.67</v>
      </c>
      <c r="G113" t="s">
        <v>232</v>
      </c>
      <c r="H113">
        <v>1054.32</v>
      </c>
    </row>
    <row r="114" spans="1:8">
      <c r="A114" s="220">
        <v>43466</v>
      </c>
      <c r="B114" s="220">
        <v>43830</v>
      </c>
      <c r="C114" s="56" t="s">
        <v>5</v>
      </c>
      <c r="D114" s="56" t="s">
        <v>9</v>
      </c>
      <c r="E114" s="56">
        <v>2019</v>
      </c>
      <c r="F114" s="56">
        <v>4250.38</v>
      </c>
      <c r="G114" t="s">
        <v>232</v>
      </c>
      <c r="H114">
        <v>5533.8</v>
      </c>
    </row>
    <row r="115" spans="1:8">
      <c r="A115" s="220">
        <v>43831</v>
      </c>
      <c r="B115" s="220">
        <v>44196</v>
      </c>
      <c r="C115" s="56" t="s">
        <v>5</v>
      </c>
      <c r="D115" s="56" t="s">
        <v>9</v>
      </c>
      <c r="E115" s="56">
        <v>2020</v>
      </c>
      <c r="F115" s="56">
        <v>291.64999999999998</v>
      </c>
      <c r="G115" t="s">
        <v>232</v>
      </c>
      <c r="H115">
        <v>405.84</v>
      </c>
    </row>
    <row r="116" spans="1:8">
      <c r="A116" s="220">
        <v>43466</v>
      </c>
      <c r="B116" s="220">
        <v>43830</v>
      </c>
      <c r="C116" s="56" t="s">
        <v>5</v>
      </c>
      <c r="D116" s="56" t="s">
        <v>9</v>
      </c>
      <c r="E116" s="56">
        <v>2019</v>
      </c>
      <c r="F116" s="56">
        <v>908.23</v>
      </c>
      <c r="G116" t="s">
        <v>232</v>
      </c>
      <c r="H116">
        <v>1182.48</v>
      </c>
    </row>
    <row r="117" spans="1:8">
      <c r="A117" s="220">
        <v>43466</v>
      </c>
      <c r="B117" s="220">
        <v>43830</v>
      </c>
      <c r="C117" s="56" t="s">
        <v>5</v>
      </c>
      <c r="D117" s="56" t="s">
        <v>9</v>
      </c>
      <c r="E117" s="56">
        <v>2019</v>
      </c>
      <c r="F117" s="56">
        <v>2396.77</v>
      </c>
      <c r="G117" t="s">
        <v>232</v>
      </c>
      <c r="H117">
        <v>3120.48</v>
      </c>
    </row>
    <row r="118" spans="1:8">
      <c r="A118" s="220">
        <v>43466</v>
      </c>
      <c r="B118" s="220">
        <v>43830</v>
      </c>
      <c r="C118" s="56" t="s">
        <v>5</v>
      </c>
      <c r="D118" s="56" t="s">
        <v>9</v>
      </c>
      <c r="E118" s="56">
        <v>2019</v>
      </c>
      <c r="F118" s="56">
        <v>1032.99</v>
      </c>
      <c r="G118" t="s">
        <v>232</v>
      </c>
      <c r="H118">
        <v>1344.9</v>
      </c>
    </row>
    <row r="119" spans="1:8">
      <c r="A119" s="220">
        <v>43831</v>
      </c>
      <c r="B119" s="220">
        <v>44196</v>
      </c>
      <c r="C119" s="56" t="s">
        <v>5</v>
      </c>
      <c r="D119" s="56" t="s">
        <v>9</v>
      </c>
      <c r="E119" s="56">
        <v>2020</v>
      </c>
      <c r="F119" s="56">
        <v>480.08</v>
      </c>
      <c r="G119" t="s">
        <v>232</v>
      </c>
      <c r="H119">
        <v>668.04</v>
      </c>
    </row>
    <row r="120" spans="1:8">
      <c r="A120" s="220">
        <v>43831</v>
      </c>
      <c r="B120" s="220">
        <v>44196</v>
      </c>
      <c r="C120" s="56" t="s">
        <v>5</v>
      </c>
      <c r="D120" s="56" t="s">
        <v>9</v>
      </c>
      <c r="E120" s="56">
        <v>2020</v>
      </c>
      <c r="F120" s="56">
        <v>314.88</v>
      </c>
      <c r="G120" t="s">
        <v>232</v>
      </c>
      <c r="H120">
        <v>438.16</v>
      </c>
    </row>
    <row r="121" spans="1:8">
      <c r="A121" s="220">
        <v>43831</v>
      </c>
      <c r="B121" s="220">
        <v>44196</v>
      </c>
      <c r="C121" s="56" t="s">
        <v>5</v>
      </c>
      <c r="D121" s="56" t="s">
        <v>9</v>
      </c>
      <c r="E121" s="56">
        <v>2020</v>
      </c>
      <c r="F121" s="56">
        <v>1262.49</v>
      </c>
      <c r="G121" t="s">
        <v>232</v>
      </c>
      <c r="H121">
        <v>1756.79</v>
      </c>
    </row>
    <row r="122" spans="1:8">
      <c r="A122" s="220">
        <v>43831</v>
      </c>
      <c r="B122" s="220">
        <v>44196</v>
      </c>
      <c r="C122" s="56" t="s">
        <v>5</v>
      </c>
      <c r="D122" s="56" t="s">
        <v>9</v>
      </c>
      <c r="E122" s="56">
        <v>2020</v>
      </c>
      <c r="F122" s="56">
        <v>2669.87</v>
      </c>
      <c r="G122" t="s">
        <v>232</v>
      </c>
      <c r="H122">
        <v>3715.18</v>
      </c>
    </row>
    <row r="123" spans="1:8">
      <c r="A123" s="220">
        <v>43831</v>
      </c>
      <c r="B123" s="220">
        <v>44196</v>
      </c>
      <c r="C123" s="56" t="s">
        <v>5</v>
      </c>
      <c r="D123" s="56" t="s">
        <v>9</v>
      </c>
      <c r="E123" s="56">
        <v>2020</v>
      </c>
      <c r="F123" s="56">
        <v>2769.31</v>
      </c>
      <c r="G123" t="s">
        <v>232</v>
      </c>
      <c r="H123">
        <v>3853.56</v>
      </c>
    </row>
    <row r="124" spans="1:8">
      <c r="A124" s="220">
        <v>43466</v>
      </c>
      <c r="B124" s="220">
        <v>43830</v>
      </c>
      <c r="C124" s="56" t="s">
        <v>5</v>
      </c>
      <c r="D124" s="56" t="s">
        <v>9</v>
      </c>
      <c r="E124" s="56">
        <v>2019</v>
      </c>
      <c r="F124" s="56">
        <v>1172.8499999999999</v>
      </c>
      <c r="G124" t="s">
        <v>232</v>
      </c>
      <c r="H124">
        <v>1527</v>
      </c>
    </row>
    <row r="125" spans="1:8">
      <c r="A125" s="220">
        <v>43831</v>
      </c>
      <c r="B125" s="220">
        <v>44196</v>
      </c>
      <c r="C125" s="56" t="s">
        <v>5</v>
      </c>
      <c r="D125" s="56" t="s">
        <v>9</v>
      </c>
      <c r="E125" s="56">
        <v>2020</v>
      </c>
      <c r="F125" s="56">
        <v>5974.42</v>
      </c>
      <c r="G125" t="s">
        <v>232</v>
      </c>
      <c r="H125">
        <v>8313.5400000000009</v>
      </c>
    </row>
    <row r="126" spans="1:8">
      <c r="A126" s="220">
        <v>43831</v>
      </c>
      <c r="B126" s="220">
        <v>44196</v>
      </c>
      <c r="C126" s="56" t="s">
        <v>5</v>
      </c>
      <c r="D126" s="56" t="s">
        <v>9</v>
      </c>
      <c r="E126" s="56">
        <v>2020</v>
      </c>
      <c r="F126" s="56">
        <v>1189.55</v>
      </c>
      <c r="G126" t="s">
        <v>232</v>
      </c>
      <c r="H126">
        <v>1655.28</v>
      </c>
    </row>
    <row r="127" spans="1:8">
      <c r="A127" s="220">
        <v>43831</v>
      </c>
      <c r="B127" s="220">
        <v>44196</v>
      </c>
      <c r="C127" s="56" t="s">
        <v>5</v>
      </c>
      <c r="D127" s="56" t="s">
        <v>9</v>
      </c>
      <c r="E127" s="56">
        <v>2020</v>
      </c>
      <c r="F127" s="56">
        <v>334.65</v>
      </c>
      <c r="G127" t="s">
        <v>232</v>
      </c>
      <c r="H127">
        <v>465.68</v>
      </c>
    </row>
    <row r="128" spans="1:8">
      <c r="A128" s="220">
        <v>43831</v>
      </c>
      <c r="B128" s="220">
        <v>44196</v>
      </c>
      <c r="C128" s="56" t="s">
        <v>5</v>
      </c>
      <c r="D128" s="56" t="s">
        <v>9</v>
      </c>
      <c r="E128" s="56">
        <v>2020</v>
      </c>
      <c r="F128" s="56">
        <v>757.67</v>
      </c>
      <c r="G128" t="s">
        <v>232</v>
      </c>
      <c r="H128">
        <v>1054.32</v>
      </c>
    </row>
    <row r="129" spans="1:8">
      <c r="A129" s="220">
        <v>43831</v>
      </c>
      <c r="B129" s="220">
        <v>44196</v>
      </c>
      <c r="C129" s="56" t="s">
        <v>5</v>
      </c>
      <c r="D129" s="56" t="s">
        <v>9</v>
      </c>
      <c r="E129" s="56">
        <v>2020</v>
      </c>
      <c r="F129" s="56">
        <v>1655.39</v>
      </c>
      <c r="G129" t="s">
        <v>232</v>
      </c>
      <c r="H129">
        <v>2303.52</v>
      </c>
    </row>
    <row r="130" spans="1:8">
      <c r="A130" s="220">
        <v>43831</v>
      </c>
      <c r="B130" s="220">
        <v>44196</v>
      </c>
      <c r="C130" s="56" t="s">
        <v>5</v>
      </c>
      <c r="D130" s="56" t="s">
        <v>9</v>
      </c>
      <c r="E130" s="56">
        <v>2020</v>
      </c>
      <c r="F130" s="56">
        <v>949.2</v>
      </c>
      <c r="G130" t="s">
        <v>232</v>
      </c>
      <c r="H130">
        <v>1320.84</v>
      </c>
    </row>
    <row r="131" spans="1:8">
      <c r="A131" s="220">
        <v>43831</v>
      </c>
      <c r="B131" s="220">
        <v>44196</v>
      </c>
      <c r="C131" s="56" t="s">
        <v>5</v>
      </c>
      <c r="D131" s="56" t="s">
        <v>9</v>
      </c>
      <c r="E131" s="56">
        <v>2020</v>
      </c>
      <c r="F131" s="56">
        <v>607.59</v>
      </c>
      <c r="G131" t="s">
        <v>232</v>
      </c>
      <c r="H131">
        <v>845.47</v>
      </c>
    </row>
    <row r="132" spans="1:8">
      <c r="A132" s="220">
        <v>43466</v>
      </c>
      <c r="B132" s="220">
        <v>43830</v>
      </c>
      <c r="C132" s="56" t="s">
        <v>5</v>
      </c>
      <c r="D132" s="56" t="s">
        <v>9</v>
      </c>
      <c r="E132" s="56">
        <v>2019</v>
      </c>
      <c r="F132" s="56">
        <v>484.63</v>
      </c>
      <c r="G132" t="s">
        <v>232</v>
      </c>
      <c r="H132">
        <v>630.96</v>
      </c>
    </row>
    <row r="133" spans="1:8">
      <c r="A133" s="220">
        <v>43466</v>
      </c>
      <c r="B133" s="220">
        <v>43830</v>
      </c>
      <c r="C133" s="56" t="s">
        <v>5</v>
      </c>
      <c r="D133" s="56" t="s">
        <v>9</v>
      </c>
      <c r="E133" s="56">
        <v>2019</v>
      </c>
      <c r="F133" s="56">
        <v>334.02</v>
      </c>
      <c r="G133" t="s">
        <v>232</v>
      </c>
      <c r="H133">
        <v>434.88</v>
      </c>
    </row>
    <row r="134" spans="1:8">
      <c r="A134" s="220">
        <v>43466</v>
      </c>
      <c r="B134" s="220">
        <v>43830</v>
      </c>
      <c r="C134" s="56" t="s">
        <v>5</v>
      </c>
      <c r="D134" s="56" t="s">
        <v>9</v>
      </c>
      <c r="E134" s="56">
        <v>2019</v>
      </c>
      <c r="F134" s="56">
        <v>125.26</v>
      </c>
      <c r="G134" t="s">
        <v>232</v>
      </c>
      <c r="H134">
        <v>163.08000000000001</v>
      </c>
    </row>
    <row r="135" spans="1:8">
      <c r="A135" s="220">
        <v>43466</v>
      </c>
      <c r="B135" s="220">
        <v>43830</v>
      </c>
      <c r="C135" s="56" t="s">
        <v>5</v>
      </c>
      <c r="D135" s="56" t="s">
        <v>9</v>
      </c>
      <c r="E135" s="56">
        <v>2019</v>
      </c>
      <c r="F135" s="56">
        <v>2306.61</v>
      </c>
      <c r="G135" t="s">
        <v>232</v>
      </c>
      <c r="H135">
        <v>3003.1</v>
      </c>
    </row>
    <row r="136" spans="1:8">
      <c r="A136" s="220">
        <v>43466</v>
      </c>
      <c r="B136" s="220">
        <v>43830</v>
      </c>
      <c r="C136" s="56" t="s">
        <v>5</v>
      </c>
      <c r="D136" s="56" t="s">
        <v>9</v>
      </c>
      <c r="E136" s="56">
        <v>2019</v>
      </c>
      <c r="F136" s="56">
        <v>3879.88</v>
      </c>
      <c r="G136" t="s">
        <v>232</v>
      </c>
      <c r="H136">
        <v>5051.43</v>
      </c>
    </row>
    <row r="137" spans="1:8">
      <c r="A137" s="220">
        <v>43831</v>
      </c>
      <c r="B137" s="220">
        <v>44196</v>
      </c>
      <c r="C137" s="56" t="s">
        <v>5</v>
      </c>
      <c r="D137" s="56" t="s">
        <v>9</v>
      </c>
      <c r="E137" s="56">
        <v>2020</v>
      </c>
      <c r="F137" s="56">
        <v>1252.33</v>
      </c>
      <c r="G137" t="s">
        <v>232</v>
      </c>
      <c r="H137">
        <v>1742.64</v>
      </c>
    </row>
    <row r="138" spans="1:8">
      <c r="A138" s="220">
        <v>43466</v>
      </c>
      <c r="B138" s="220">
        <v>43830</v>
      </c>
      <c r="C138" s="56" t="s">
        <v>5</v>
      </c>
      <c r="D138" s="56" t="s">
        <v>9</v>
      </c>
      <c r="E138" s="56">
        <v>2019</v>
      </c>
      <c r="F138" s="56">
        <v>344.04</v>
      </c>
      <c r="G138" t="s">
        <v>232</v>
      </c>
      <c r="H138">
        <v>447.93</v>
      </c>
    </row>
    <row r="139" spans="1:8">
      <c r="A139" s="220">
        <v>43831</v>
      </c>
      <c r="B139" s="220">
        <v>44196</v>
      </c>
      <c r="C139" s="56" t="s">
        <v>5</v>
      </c>
      <c r="D139" s="56" t="s">
        <v>9</v>
      </c>
      <c r="E139" s="56">
        <v>2020</v>
      </c>
      <c r="F139" s="56">
        <v>4053.1</v>
      </c>
      <c r="G139" t="s">
        <v>232</v>
      </c>
      <c r="H139">
        <v>5639.98</v>
      </c>
    </row>
    <row r="140" spans="1:8">
      <c r="A140" s="220">
        <v>43466</v>
      </c>
      <c r="B140" s="220">
        <v>43830</v>
      </c>
      <c r="C140" s="56" t="s">
        <v>5</v>
      </c>
      <c r="D140" s="56" t="s">
        <v>9</v>
      </c>
      <c r="E140" s="56">
        <v>2019</v>
      </c>
      <c r="F140" s="56">
        <v>1016.72</v>
      </c>
      <c r="G140" t="s">
        <v>232</v>
      </c>
      <c r="H140">
        <v>1323.72</v>
      </c>
    </row>
    <row r="141" spans="1:8">
      <c r="A141" s="220">
        <v>43466</v>
      </c>
      <c r="B141" s="220">
        <v>43830</v>
      </c>
      <c r="C141" s="56" t="s">
        <v>5</v>
      </c>
      <c r="D141" s="56" t="s">
        <v>9</v>
      </c>
      <c r="E141" s="56">
        <v>2019</v>
      </c>
      <c r="F141" s="56">
        <v>495.22</v>
      </c>
      <c r="G141" t="s">
        <v>232</v>
      </c>
      <c r="H141">
        <v>644.76</v>
      </c>
    </row>
    <row r="142" spans="1:8">
      <c r="A142" s="220">
        <v>43466</v>
      </c>
      <c r="B142" s="220">
        <v>43830</v>
      </c>
      <c r="C142" s="56" t="s">
        <v>5</v>
      </c>
      <c r="D142" s="56" t="s">
        <v>9</v>
      </c>
      <c r="E142" s="56">
        <v>2019</v>
      </c>
      <c r="F142" s="56">
        <v>2619.1</v>
      </c>
      <c r="G142" t="s">
        <v>232</v>
      </c>
      <c r="H142">
        <v>3409.95</v>
      </c>
    </row>
    <row r="143" spans="1:8">
      <c r="A143" s="220">
        <v>43466</v>
      </c>
      <c r="B143" s="220">
        <v>43830</v>
      </c>
      <c r="C143" s="56" t="s">
        <v>5</v>
      </c>
      <c r="D143" s="56" t="s">
        <v>9</v>
      </c>
      <c r="E143" s="56">
        <v>2019</v>
      </c>
      <c r="F143" s="56">
        <v>734.22</v>
      </c>
      <c r="G143" t="s">
        <v>232</v>
      </c>
      <c r="H143">
        <v>955.92</v>
      </c>
    </row>
    <row r="144" spans="1:8">
      <c r="A144" s="220">
        <v>43466</v>
      </c>
      <c r="B144" s="220">
        <v>43830</v>
      </c>
      <c r="C144" s="56" t="s">
        <v>5</v>
      </c>
      <c r="D144" s="56" t="s">
        <v>9</v>
      </c>
      <c r="E144" s="56">
        <v>2019</v>
      </c>
      <c r="F144" s="56">
        <v>1529</v>
      </c>
      <c r="G144" t="s">
        <v>232</v>
      </c>
      <c r="H144">
        <v>1990.69</v>
      </c>
    </row>
    <row r="145" spans="1:8">
      <c r="A145" s="220">
        <v>43466</v>
      </c>
      <c r="B145" s="220">
        <v>43830</v>
      </c>
      <c r="C145" s="56" t="s">
        <v>5</v>
      </c>
      <c r="D145" s="56" t="s">
        <v>9</v>
      </c>
      <c r="E145" s="56">
        <v>2019</v>
      </c>
      <c r="F145" s="56">
        <v>334.02</v>
      </c>
      <c r="G145" t="s">
        <v>232</v>
      </c>
      <c r="H145">
        <v>434.88</v>
      </c>
    </row>
    <row r="146" spans="1:8">
      <c r="A146" s="220">
        <v>43831</v>
      </c>
      <c r="B146" s="220">
        <v>44196</v>
      </c>
      <c r="C146" s="56" t="s">
        <v>5</v>
      </c>
      <c r="D146" s="56" t="s">
        <v>9</v>
      </c>
      <c r="E146" s="56">
        <v>2020</v>
      </c>
      <c r="F146" s="56">
        <v>5866.15</v>
      </c>
      <c r="G146" t="s">
        <v>232</v>
      </c>
      <c r="H146">
        <v>8162.88</v>
      </c>
    </row>
    <row r="147" spans="1:8">
      <c r="A147" s="220">
        <v>43466</v>
      </c>
      <c r="B147" s="220">
        <v>43830</v>
      </c>
      <c r="C147" s="56" t="s">
        <v>5</v>
      </c>
      <c r="D147" s="56" t="s">
        <v>9</v>
      </c>
      <c r="E147" s="56">
        <v>2019</v>
      </c>
      <c r="F147" s="56">
        <v>543.79999999999995</v>
      </c>
      <c r="G147" t="s">
        <v>232</v>
      </c>
      <c r="H147">
        <v>708</v>
      </c>
    </row>
    <row r="148" spans="1:8">
      <c r="A148" s="220">
        <v>43466</v>
      </c>
      <c r="B148" s="220">
        <v>43830</v>
      </c>
      <c r="C148" s="56" t="s">
        <v>5</v>
      </c>
      <c r="D148" s="56" t="s">
        <v>9</v>
      </c>
      <c r="E148" s="56">
        <v>2019</v>
      </c>
      <c r="F148" s="56">
        <v>3500.45</v>
      </c>
      <c r="G148" t="s">
        <v>232</v>
      </c>
      <c r="H148">
        <v>4557.42</v>
      </c>
    </row>
    <row r="149" spans="1:8">
      <c r="A149" s="220">
        <v>43466</v>
      </c>
      <c r="B149" s="220">
        <v>43830</v>
      </c>
      <c r="C149" s="56" t="s">
        <v>5</v>
      </c>
      <c r="D149" s="56" t="s">
        <v>9</v>
      </c>
      <c r="E149" s="56">
        <v>2019</v>
      </c>
      <c r="F149" s="56">
        <v>1257.56</v>
      </c>
      <c r="G149" t="s">
        <v>232</v>
      </c>
      <c r="H149">
        <v>1637.28</v>
      </c>
    </row>
    <row r="150" spans="1:8">
      <c r="A150" s="220">
        <v>43466</v>
      </c>
      <c r="B150" s="220">
        <v>43830</v>
      </c>
      <c r="C150" s="56" t="s">
        <v>5</v>
      </c>
      <c r="D150" s="56" t="s">
        <v>9</v>
      </c>
      <c r="E150" s="56">
        <v>2019</v>
      </c>
      <c r="F150" s="56">
        <v>535.69000000000005</v>
      </c>
      <c r="G150" t="s">
        <v>232</v>
      </c>
      <c r="H150">
        <v>697.44</v>
      </c>
    </row>
    <row r="151" spans="1:8">
      <c r="A151" s="220">
        <v>43831</v>
      </c>
      <c r="B151" s="220">
        <v>44196</v>
      </c>
      <c r="C151" s="56" t="s">
        <v>5</v>
      </c>
      <c r="D151" s="56" t="s">
        <v>9</v>
      </c>
      <c r="E151" s="56">
        <v>2020</v>
      </c>
      <c r="F151" s="56">
        <v>734.65</v>
      </c>
      <c r="G151" t="s">
        <v>232</v>
      </c>
      <c r="H151">
        <v>1022.28</v>
      </c>
    </row>
    <row r="152" spans="1:8">
      <c r="A152" s="220">
        <v>43466</v>
      </c>
      <c r="B152" s="220">
        <v>43830</v>
      </c>
      <c r="C152" s="56" t="s">
        <v>5</v>
      </c>
      <c r="D152" s="56" t="s">
        <v>9</v>
      </c>
      <c r="E152" s="56">
        <v>2019</v>
      </c>
      <c r="F152" s="56">
        <v>841.32</v>
      </c>
      <c r="G152" t="s">
        <v>232</v>
      </c>
      <c r="H152">
        <v>1095.3599999999999</v>
      </c>
    </row>
    <row r="153" spans="1:8">
      <c r="A153" s="220">
        <v>43466</v>
      </c>
      <c r="B153" s="220">
        <v>43830</v>
      </c>
      <c r="C153" s="56" t="s">
        <v>5</v>
      </c>
      <c r="D153" s="56" t="s">
        <v>9</v>
      </c>
      <c r="E153" s="56">
        <v>2019</v>
      </c>
      <c r="F153" s="56">
        <v>5714.87</v>
      </c>
      <c r="G153" t="s">
        <v>232</v>
      </c>
      <c r="H153">
        <v>7440.5</v>
      </c>
    </row>
    <row r="154" spans="1:8">
      <c r="A154" s="220">
        <v>43466</v>
      </c>
      <c r="B154" s="220">
        <v>43830</v>
      </c>
      <c r="C154" s="56" t="s">
        <v>5</v>
      </c>
      <c r="D154" s="56" t="s">
        <v>9</v>
      </c>
      <c r="E154" s="56">
        <v>2019</v>
      </c>
      <c r="F154" s="56">
        <v>535.69000000000005</v>
      </c>
      <c r="G154" t="s">
        <v>232</v>
      </c>
      <c r="H154">
        <v>697.44</v>
      </c>
    </row>
    <row r="155" spans="1:8">
      <c r="A155" s="220">
        <v>43466</v>
      </c>
      <c r="B155" s="220">
        <v>43830</v>
      </c>
      <c r="C155" s="56" t="s">
        <v>5</v>
      </c>
      <c r="D155" s="56" t="s">
        <v>9</v>
      </c>
      <c r="E155" s="56">
        <v>2019</v>
      </c>
      <c r="F155" s="56">
        <v>816.77</v>
      </c>
      <c r="G155" t="s">
        <v>232</v>
      </c>
      <c r="H155">
        <v>1063.4000000000001</v>
      </c>
    </row>
    <row r="156" spans="1:8">
      <c r="A156" s="220">
        <v>43466</v>
      </c>
      <c r="B156" s="220">
        <v>43830</v>
      </c>
      <c r="C156" s="56" t="s">
        <v>5</v>
      </c>
      <c r="D156" s="56" t="s">
        <v>9</v>
      </c>
      <c r="E156" s="56">
        <v>2019</v>
      </c>
      <c r="F156" s="56">
        <v>551.27</v>
      </c>
      <c r="G156" t="s">
        <v>232</v>
      </c>
      <c r="H156">
        <v>717.73</v>
      </c>
    </row>
    <row r="157" spans="1:8">
      <c r="A157" s="220">
        <v>43831</v>
      </c>
      <c r="B157" s="220">
        <v>44196</v>
      </c>
      <c r="C157" s="56" t="s">
        <v>5</v>
      </c>
      <c r="D157" s="56" t="s">
        <v>9</v>
      </c>
      <c r="E157" s="56">
        <v>2020</v>
      </c>
      <c r="F157" s="56">
        <v>516.47</v>
      </c>
      <c r="G157" t="s">
        <v>232</v>
      </c>
      <c r="H157">
        <v>718.68</v>
      </c>
    </row>
    <row r="158" spans="1:8">
      <c r="A158" s="220">
        <v>43466</v>
      </c>
      <c r="B158" s="220">
        <v>43830</v>
      </c>
      <c r="C158" s="56" t="s">
        <v>5</v>
      </c>
      <c r="D158" s="56" t="s">
        <v>9</v>
      </c>
      <c r="E158" s="56">
        <v>2019</v>
      </c>
      <c r="F158" s="56">
        <v>589.79</v>
      </c>
      <c r="G158" t="s">
        <v>232</v>
      </c>
      <c r="H158">
        <v>767.88</v>
      </c>
    </row>
    <row r="159" spans="1:8">
      <c r="A159" s="220">
        <v>43831</v>
      </c>
      <c r="B159" s="220">
        <v>44196</v>
      </c>
      <c r="C159" s="56" t="s">
        <v>5</v>
      </c>
      <c r="D159" s="56" t="s">
        <v>9</v>
      </c>
      <c r="E159" s="56">
        <v>2020</v>
      </c>
      <c r="F159" s="56">
        <v>594.77</v>
      </c>
      <c r="G159" t="s">
        <v>232</v>
      </c>
      <c r="H159">
        <v>827.64</v>
      </c>
    </row>
    <row r="160" spans="1:8">
      <c r="A160" s="220">
        <v>43466</v>
      </c>
      <c r="B160" s="220">
        <v>43830</v>
      </c>
      <c r="C160" s="56" t="s">
        <v>5</v>
      </c>
      <c r="D160" s="56" t="s">
        <v>9</v>
      </c>
      <c r="E160" s="56">
        <v>2019</v>
      </c>
      <c r="F160" s="56">
        <v>1830.31</v>
      </c>
      <c r="G160" t="s">
        <v>232</v>
      </c>
      <c r="H160">
        <v>2382.98</v>
      </c>
    </row>
    <row r="161" spans="1:8">
      <c r="A161" s="220">
        <v>43466</v>
      </c>
      <c r="B161" s="220">
        <v>43830</v>
      </c>
      <c r="C161" s="56" t="s">
        <v>5</v>
      </c>
      <c r="D161" s="56" t="s">
        <v>9</v>
      </c>
      <c r="E161" s="56">
        <v>2019</v>
      </c>
      <c r="F161" s="56">
        <v>435.13</v>
      </c>
      <c r="G161" t="s">
        <v>232</v>
      </c>
      <c r="H161">
        <v>566.52</v>
      </c>
    </row>
    <row r="162" spans="1:8">
      <c r="A162" s="220">
        <v>43466</v>
      </c>
      <c r="B162" s="220">
        <v>43830</v>
      </c>
      <c r="C162" s="56" t="s">
        <v>5</v>
      </c>
      <c r="D162" s="56" t="s">
        <v>9</v>
      </c>
      <c r="E162" s="56">
        <v>2019</v>
      </c>
      <c r="F162" s="56">
        <v>5016.1899999999996</v>
      </c>
      <c r="G162" t="s">
        <v>232</v>
      </c>
      <c r="H162">
        <v>6530.85</v>
      </c>
    </row>
    <row r="163" spans="1:8">
      <c r="A163" s="220">
        <v>43466</v>
      </c>
      <c r="B163" s="220">
        <v>43830</v>
      </c>
      <c r="C163" s="56" t="s">
        <v>5</v>
      </c>
      <c r="D163" s="56" t="s">
        <v>9</v>
      </c>
      <c r="E163" s="56">
        <v>2019</v>
      </c>
      <c r="F163" s="56">
        <v>536.24</v>
      </c>
      <c r="G163" t="s">
        <v>232</v>
      </c>
      <c r="H163">
        <v>698.16</v>
      </c>
    </row>
    <row r="164" spans="1:8">
      <c r="A164" s="220">
        <v>43466</v>
      </c>
      <c r="B164" s="220">
        <v>43830</v>
      </c>
      <c r="C164" s="56" t="s">
        <v>5</v>
      </c>
      <c r="D164" s="56" t="s">
        <v>9</v>
      </c>
      <c r="E164" s="56">
        <v>2019</v>
      </c>
      <c r="F164" s="56">
        <v>64.459999999999994</v>
      </c>
      <c r="G164" t="s">
        <v>232</v>
      </c>
      <c r="H164">
        <v>83.92</v>
      </c>
    </row>
    <row r="165" spans="1:8">
      <c r="A165" s="220">
        <v>43831</v>
      </c>
      <c r="B165" s="220">
        <v>44196</v>
      </c>
      <c r="C165" s="56" t="s">
        <v>5</v>
      </c>
      <c r="D165" s="56" t="s">
        <v>9</v>
      </c>
      <c r="E165" s="56">
        <v>2020</v>
      </c>
      <c r="F165" s="56">
        <v>720.88</v>
      </c>
      <c r="G165" t="s">
        <v>232</v>
      </c>
      <c r="H165">
        <v>1003.12</v>
      </c>
    </row>
    <row r="166" spans="1:8">
      <c r="A166" s="220">
        <v>43466</v>
      </c>
      <c r="B166" s="220">
        <v>43830</v>
      </c>
      <c r="C166" s="56" t="s">
        <v>5</v>
      </c>
      <c r="D166" s="56" t="s">
        <v>9</v>
      </c>
      <c r="E166" s="56">
        <v>2019</v>
      </c>
      <c r="F166" s="56">
        <v>589.79</v>
      </c>
      <c r="G166" t="s">
        <v>232</v>
      </c>
      <c r="H166">
        <v>767.88</v>
      </c>
    </row>
    <row r="167" spans="1:8">
      <c r="A167" s="220">
        <v>43466</v>
      </c>
      <c r="B167" s="220">
        <v>43830</v>
      </c>
      <c r="C167" s="56" t="s">
        <v>5</v>
      </c>
      <c r="D167" s="56" t="s">
        <v>9</v>
      </c>
      <c r="E167" s="56">
        <v>2019</v>
      </c>
      <c r="F167" s="56">
        <v>392.73</v>
      </c>
      <c r="G167" t="s">
        <v>232</v>
      </c>
      <c r="H167">
        <v>511.31</v>
      </c>
    </row>
    <row r="168" spans="1:8">
      <c r="A168" s="220">
        <v>43466</v>
      </c>
      <c r="B168" s="220">
        <v>43830</v>
      </c>
      <c r="C168" s="56" t="s">
        <v>5</v>
      </c>
      <c r="D168" s="56" t="s">
        <v>9</v>
      </c>
      <c r="E168" s="56">
        <v>2019</v>
      </c>
      <c r="F168" s="56">
        <v>5253.89</v>
      </c>
      <c r="G168" t="s">
        <v>232</v>
      </c>
      <c r="H168">
        <v>6840.32</v>
      </c>
    </row>
    <row r="169" spans="1:8">
      <c r="A169" s="220">
        <v>43466</v>
      </c>
      <c r="B169" s="220">
        <v>43830</v>
      </c>
      <c r="C169" s="56" t="s">
        <v>5</v>
      </c>
      <c r="D169" s="56" t="s">
        <v>9</v>
      </c>
      <c r="E169" s="56">
        <v>2019</v>
      </c>
      <c r="F169" s="56">
        <v>1743.1</v>
      </c>
      <c r="G169" t="s">
        <v>232</v>
      </c>
      <c r="H169">
        <v>2269.44</v>
      </c>
    </row>
    <row r="170" spans="1:8">
      <c r="A170" s="220">
        <v>43831</v>
      </c>
      <c r="B170" s="220">
        <v>44196</v>
      </c>
      <c r="C170" s="56" t="s">
        <v>5</v>
      </c>
      <c r="D170" s="56" t="s">
        <v>9</v>
      </c>
      <c r="E170" s="56">
        <v>2020</v>
      </c>
      <c r="F170" s="56">
        <v>452.91</v>
      </c>
      <c r="G170" t="s">
        <v>232</v>
      </c>
      <c r="H170">
        <v>630.24</v>
      </c>
    </row>
    <row r="171" spans="1:8">
      <c r="A171" s="220">
        <v>43831</v>
      </c>
      <c r="B171" s="220">
        <v>44196</v>
      </c>
      <c r="C171" s="56" t="s">
        <v>5</v>
      </c>
      <c r="D171" s="56" t="s">
        <v>9</v>
      </c>
      <c r="E171" s="56">
        <v>2020</v>
      </c>
      <c r="F171" s="56">
        <v>501.64</v>
      </c>
      <c r="G171" t="s">
        <v>232</v>
      </c>
      <c r="H171">
        <v>698.04</v>
      </c>
    </row>
    <row r="172" spans="1:8">
      <c r="A172" s="220">
        <v>43831</v>
      </c>
      <c r="B172" s="220">
        <v>44196</v>
      </c>
      <c r="C172" s="56" t="s">
        <v>5</v>
      </c>
      <c r="D172" s="56" t="s">
        <v>9</v>
      </c>
      <c r="E172" s="56">
        <v>2020</v>
      </c>
      <c r="F172" s="56">
        <v>215.66</v>
      </c>
      <c r="G172" t="s">
        <v>232</v>
      </c>
      <c r="H172">
        <v>300.08999999999997</v>
      </c>
    </row>
    <row r="173" spans="1:8">
      <c r="A173" s="220">
        <v>43831</v>
      </c>
      <c r="B173" s="220">
        <v>44196</v>
      </c>
      <c r="C173" s="56" t="s">
        <v>5</v>
      </c>
      <c r="D173" s="56" t="s">
        <v>9</v>
      </c>
      <c r="E173" s="56">
        <v>2020</v>
      </c>
      <c r="F173" s="56">
        <v>479.83</v>
      </c>
      <c r="G173" t="s">
        <v>232</v>
      </c>
      <c r="H173">
        <v>667.69</v>
      </c>
    </row>
    <row r="174" spans="1:8">
      <c r="A174" s="220">
        <v>43466</v>
      </c>
      <c r="B174" s="220">
        <v>43830</v>
      </c>
      <c r="C174" s="56" t="s">
        <v>5</v>
      </c>
      <c r="D174" s="56" t="s">
        <v>9</v>
      </c>
      <c r="E174" s="56">
        <v>2019</v>
      </c>
      <c r="F174" s="56">
        <v>999.48</v>
      </c>
      <c r="G174" t="s">
        <v>232</v>
      </c>
      <c r="H174">
        <v>1301.28</v>
      </c>
    </row>
    <row r="175" spans="1:8">
      <c r="A175" s="220">
        <v>43831</v>
      </c>
      <c r="B175" s="220">
        <v>44196</v>
      </c>
      <c r="C175" s="56" t="s">
        <v>5</v>
      </c>
      <c r="D175" s="56" t="s">
        <v>9</v>
      </c>
      <c r="E175" s="56">
        <v>2020</v>
      </c>
      <c r="F175" s="56">
        <v>700.58</v>
      </c>
      <c r="G175" t="s">
        <v>232</v>
      </c>
      <c r="H175">
        <v>974.88</v>
      </c>
    </row>
    <row r="176" spans="1:8">
      <c r="A176" s="220">
        <v>43466</v>
      </c>
      <c r="B176" s="220">
        <v>43830</v>
      </c>
      <c r="C176" s="56" t="s">
        <v>5</v>
      </c>
      <c r="D176" s="56" t="s">
        <v>9</v>
      </c>
      <c r="E176" s="56">
        <v>2019</v>
      </c>
      <c r="F176" s="56">
        <v>871.55</v>
      </c>
      <c r="G176" t="s">
        <v>232</v>
      </c>
      <c r="H176">
        <v>1134.72</v>
      </c>
    </row>
    <row r="177" spans="1:8">
      <c r="A177" s="220">
        <v>43831</v>
      </c>
      <c r="B177" s="220">
        <v>44196</v>
      </c>
      <c r="C177" s="56" t="s">
        <v>5</v>
      </c>
      <c r="D177" s="56" t="s">
        <v>9</v>
      </c>
      <c r="E177" s="56">
        <v>2020</v>
      </c>
      <c r="F177" s="56">
        <v>1506.24</v>
      </c>
      <c r="G177" t="s">
        <v>232</v>
      </c>
      <c r="H177">
        <v>2095.9699999999998</v>
      </c>
    </row>
    <row r="178" spans="1:8">
      <c r="A178" s="220">
        <v>43466</v>
      </c>
      <c r="B178" s="220">
        <v>43830</v>
      </c>
      <c r="C178" s="56" t="s">
        <v>5</v>
      </c>
      <c r="D178" s="56" t="s">
        <v>9</v>
      </c>
      <c r="E178" s="56">
        <v>2019</v>
      </c>
      <c r="F178" s="56">
        <v>5873.76</v>
      </c>
      <c r="G178" t="s">
        <v>232</v>
      </c>
      <c r="H178">
        <v>7647.36</v>
      </c>
    </row>
    <row r="179" spans="1:8">
      <c r="A179" s="220">
        <v>43466</v>
      </c>
      <c r="B179" s="220">
        <v>43830</v>
      </c>
      <c r="C179" s="56" t="s">
        <v>5</v>
      </c>
      <c r="D179" s="56" t="s">
        <v>9</v>
      </c>
      <c r="E179" s="56">
        <v>2019</v>
      </c>
      <c r="F179" s="56">
        <v>2000.25</v>
      </c>
      <c r="G179" t="s">
        <v>232</v>
      </c>
      <c r="H179">
        <v>2604.2399999999998</v>
      </c>
    </row>
    <row r="180" spans="1:8">
      <c r="A180" s="220">
        <v>43831</v>
      </c>
      <c r="B180" s="220">
        <v>44196</v>
      </c>
      <c r="C180" s="56" t="s">
        <v>5</v>
      </c>
      <c r="D180" s="56" t="s">
        <v>9</v>
      </c>
      <c r="E180" s="56">
        <v>2020</v>
      </c>
      <c r="F180" s="56">
        <v>757.67</v>
      </c>
      <c r="G180" t="s">
        <v>232</v>
      </c>
      <c r="H180">
        <v>1054.32</v>
      </c>
    </row>
    <row r="181" spans="1:8">
      <c r="A181" s="220">
        <v>43831</v>
      </c>
      <c r="B181" s="220">
        <v>44196</v>
      </c>
      <c r="C181" s="56" t="s">
        <v>5</v>
      </c>
      <c r="D181" s="56" t="s">
        <v>9</v>
      </c>
      <c r="E181" s="56">
        <v>2020</v>
      </c>
      <c r="F181" s="56">
        <v>79.290000000000006</v>
      </c>
      <c r="G181" t="s">
        <v>232</v>
      </c>
      <c r="H181">
        <v>110.34</v>
      </c>
    </row>
    <row r="182" spans="1:8">
      <c r="A182" s="220">
        <v>43831</v>
      </c>
      <c r="B182" s="220">
        <v>44196</v>
      </c>
      <c r="C182" s="56" t="s">
        <v>5</v>
      </c>
      <c r="D182" s="56" t="s">
        <v>9</v>
      </c>
      <c r="E182" s="56">
        <v>2020</v>
      </c>
      <c r="F182" s="56">
        <v>1149.3599999999999</v>
      </c>
      <c r="G182" t="s">
        <v>232</v>
      </c>
      <c r="H182">
        <v>1599.36</v>
      </c>
    </row>
    <row r="183" spans="1:8">
      <c r="A183" s="220">
        <v>43466</v>
      </c>
      <c r="B183" s="220">
        <v>43830</v>
      </c>
      <c r="C183" s="56" t="s">
        <v>5</v>
      </c>
      <c r="D183" s="56" t="s">
        <v>9</v>
      </c>
      <c r="E183" s="56">
        <v>2019</v>
      </c>
      <c r="F183" s="56">
        <v>1116.17</v>
      </c>
      <c r="G183" t="s">
        <v>232</v>
      </c>
      <c r="H183">
        <v>1453.2</v>
      </c>
    </row>
    <row r="184" spans="1:8">
      <c r="A184" s="220">
        <v>43466</v>
      </c>
      <c r="B184" s="220">
        <v>43830</v>
      </c>
      <c r="C184" s="56" t="s">
        <v>5</v>
      </c>
      <c r="D184" s="56" t="s">
        <v>9</v>
      </c>
      <c r="E184" s="56">
        <v>2019</v>
      </c>
      <c r="F184" s="56">
        <v>1043.9100000000001</v>
      </c>
      <c r="G184" t="s">
        <v>232</v>
      </c>
      <c r="H184">
        <v>1359.12</v>
      </c>
    </row>
    <row r="185" spans="1:8">
      <c r="A185" s="220">
        <v>43831</v>
      </c>
      <c r="B185" s="220">
        <v>44196</v>
      </c>
      <c r="C185" s="56" t="s">
        <v>5</v>
      </c>
      <c r="D185" s="56" t="s">
        <v>9</v>
      </c>
      <c r="E185" s="56">
        <v>2020</v>
      </c>
      <c r="F185" s="56">
        <v>1530.32</v>
      </c>
      <c r="G185" t="s">
        <v>232</v>
      </c>
      <c r="H185">
        <v>2129.4699999999998</v>
      </c>
    </row>
    <row r="186" spans="1:8">
      <c r="A186" s="220">
        <v>43466</v>
      </c>
      <c r="B186" s="220">
        <v>43830</v>
      </c>
      <c r="C186" s="56" t="s">
        <v>5</v>
      </c>
      <c r="D186" s="56" t="s">
        <v>9</v>
      </c>
      <c r="E186" s="56">
        <v>2019</v>
      </c>
      <c r="F186" s="56">
        <v>495.22</v>
      </c>
      <c r="G186" t="s">
        <v>232</v>
      </c>
      <c r="H186">
        <v>644.76</v>
      </c>
    </row>
    <row r="187" spans="1:8">
      <c r="A187" s="220">
        <v>43466</v>
      </c>
      <c r="B187" s="220">
        <v>43830</v>
      </c>
      <c r="C187" s="56" t="s">
        <v>5</v>
      </c>
      <c r="D187" s="56" t="s">
        <v>9</v>
      </c>
      <c r="E187" s="56">
        <v>2019</v>
      </c>
      <c r="F187" s="56">
        <v>724.63</v>
      </c>
      <c r="G187" t="s">
        <v>232</v>
      </c>
      <c r="H187">
        <v>943.44</v>
      </c>
    </row>
    <row r="188" spans="1:8">
      <c r="A188" s="220">
        <v>43831</v>
      </c>
      <c r="B188" s="220">
        <v>44196</v>
      </c>
      <c r="C188" s="56" t="s">
        <v>5</v>
      </c>
      <c r="D188" s="56" t="s">
        <v>9</v>
      </c>
      <c r="E188" s="56">
        <v>2020</v>
      </c>
      <c r="F188" s="56">
        <v>1306.6500000000001</v>
      </c>
      <c r="G188" t="s">
        <v>232</v>
      </c>
      <c r="H188">
        <v>1818.24</v>
      </c>
    </row>
    <row r="189" spans="1:8">
      <c r="A189" s="220">
        <v>43466</v>
      </c>
      <c r="B189" s="220">
        <v>43830</v>
      </c>
      <c r="C189" s="56" t="s">
        <v>5</v>
      </c>
      <c r="D189" s="56" t="s">
        <v>9</v>
      </c>
      <c r="E189" s="56">
        <v>2019</v>
      </c>
      <c r="F189" s="56">
        <v>908.23</v>
      </c>
      <c r="G189" t="s">
        <v>232</v>
      </c>
      <c r="H189">
        <v>1182.48</v>
      </c>
    </row>
    <row r="190" spans="1:8">
      <c r="A190" s="220">
        <v>43831</v>
      </c>
      <c r="B190" s="220">
        <v>44196</v>
      </c>
      <c r="C190" s="56" t="s">
        <v>5</v>
      </c>
      <c r="D190" s="56" t="s">
        <v>9</v>
      </c>
      <c r="E190" s="56">
        <v>2020</v>
      </c>
      <c r="F190" s="56">
        <v>62.64</v>
      </c>
      <c r="G190" t="s">
        <v>232</v>
      </c>
      <c r="H190">
        <v>87.17</v>
      </c>
    </row>
    <row r="191" spans="1:8">
      <c r="A191" s="220">
        <v>43831</v>
      </c>
      <c r="B191" s="220">
        <v>44196</v>
      </c>
      <c r="C191" s="56" t="s">
        <v>5</v>
      </c>
      <c r="D191" s="56" t="s">
        <v>9</v>
      </c>
      <c r="E191" s="56">
        <v>2020</v>
      </c>
      <c r="F191" s="56">
        <v>697.39</v>
      </c>
      <c r="G191" t="s">
        <v>232</v>
      </c>
      <c r="H191">
        <v>970.44</v>
      </c>
    </row>
    <row r="192" spans="1:8">
      <c r="A192" s="220">
        <v>43831</v>
      </c>
      <c r="B192" s="220">
        <v>44196</v>
      </c>
      <c r="C192" s="56" t="s">
        <v>5</v>
      </c>
      <c r="D192" s="56" t="s">
        <v>9</v>
      </c>
      <c r="E192" s="56">
        <v>2020</v>
      </c>
      <c r="F192" s="56">
        <v>807.35</v>
      </c>
      <c r="G192" t="s">
        <v>232</v>
      </c>
      <c r="H192">
        <v>1123.44</v>
      </c>
    </row>
    <row r="193" spans="1:8">
      <c r="A193" s="220">
        <v>43831</v>
      </c>
      <c r="B193" s="220">
        <v>44196</v>
      </c>
      <c r="C193" s="56" t="s">
        <v>5</v>
      </c>
      <c r="D193" s="56" t="s">
        <v>9</v>
      </c>
      <c r="E193" s="56">
        <v>2020</v>
      </c>
      <c r="F193" s="56">
        <v>1113.92</v>
      </c>
      <c r="G193" t="s">
        <v>232</v>
      </c>
      <c r="H193">
        <v>1550.04</v>
      </c>
    </row>
    <row r="194" spans="1:8">
      <c r="A194" s="220">
        <v>43466</v>
      </c>
      <c r="B194" s="220">
        <v>43830</v>
      </c>
      <c r="C194" s="56" t="s">
        <v>5</v>
      </c>
      <c r="D194" s="56" t="s">
        <v>9</v>
      </c>
      <c r="E194" s="56">
        <v>2019</v>
      </c>
      <c r="F194" s="56">
        <v>4791.4399999999996</v>
      </c>
      <c r="G194" t="s">
        <v>232</v>
      </c>
      <c r="H194">
        <v>6238.23</v>
      </c>
    </row>
    <row r="195" spans="1:8">
      <c r="A195" s="220">
        <v>43831</v>
      </c>
      <c r="B195" s="220">
        <v>44196</v>
      </c>
      <c r="C195" s="56" t="s">
        <v>5</v>
      </c>
      <c r="D195" s="56" t="s">
        <v>9</v>
      </c>
      <c r="E195" s="56">
        <v>2020</v>
      </c>
      <c r="F195" s="56">
        <v>1113.92</v>
      </c>
      <c r="G195" t="s">
        <v>232</v>
      </c>
      <c r="H195">
        <v>1550.04</v>
      </c>
    </row>
    <row r="196" spans="1:8">
      <c r="A196" s="220">
        <v>43831</v>
      </c>
      <c r="B196" s="220">
        <v>44196</v>
      </c>
      <c r="C196" s="56" t="s">
        <v>5</v>
      </c>
      <c r="D196" s="56" t="s">
        <v>9</v>
      </c>
      <c r="E196" s="56">
        <v>2020</v>
      </c>
      <c r="F196" s="56">
        <v>1709.03</v>
      </c>
      <c r="G196" t="s">
        <v>232</v>
      </c>
      <c r="H196">
        <v>2378.16</v>
      </c>
    </row>
    <row r="197" spans="1:8">
      <c r="A197" s="220">
        <v>43466</v>
      </c>
      <c r="B197" s="220">
        <v>43830</v>
      </c>
      <c r="C197" s="56" t="s">
        <v>5</v>
      </c>
      <c r="D197" s="56" t="s">
        <v>9</v>
      </c>
      <c r="E197" s="56">
        <v>2019</v>
      </c>
      <c r="F197" s="56">
        <v>275.99</v>
      </c>
      <c r="G197" t="s">
        <v>232</v>
      </c>
      <c r="H197">
        <v>359.32</v>
      </c>
    </row>
    <row r="198" spans="1:8">
      <c r="A198" s="220">
        <v>43466</v>
      </c>
      <c r="B198" s="220">
        <v>43830</v>
      </c>
      <c r="C198" s="56" t="s">
        <v>5</v>
      </c>
      <c r="D198" s="56" t="s">
        <v>9</v>
      </c>
      <c r="E198" s="56">
        <v>2019</v>
      </c>
      <c r="F198" s="56">
        <v>1375.72</v>
      </c>
      <c r="G198" t="s">
        <v>232</v>
      </c>
      <c r="H198">
        <v>1791.12</v>
      </c>
    </row>
    <row r="199" spans="1:8">
      <c r="A199" s="220">
        <v>43831</v>
      </c>
      <c r="B199" s="220">
        <v>44196</v>
      </c>
      <c r="C199" s="56" t="s">
        <v>5</v>
      </c>
      <c r="D199" s="56" t="s">
        <v>9</v>
      </c>
      <c r="E199" s="56">
        <v>2020</v>
      </c>
      <c r="F199" s="56">
        <v>1887.87</v>
      </c>
      <c r="G199" t="s">
        <v>232</v>
      </c>
      <c r="H199">
        <v>2627.01</v>
      </c>
    </row>
    <row r="200" spans="1:8">
      <c r="A200" s="220">
        <v>43466</v>
      </c>
      <c r="B200" s="220">
        <v>43830</v>
      </c>
      <c r="C200" s="56" t="s">
        <v>5</v>
      </c>
      <c r="D200" s="56" t="s">
        <v>9</v>
      </c>
      <c r="E200" s="56">
        <v>2019</v>
      </c>
      <c r="F200" s="56">
        <v>4741.99</v>
      </c>
      <c r="G200" t="s">
        <v>232</v>
      </c>
      <c r="H200">
        <v>6173.85</v>
      </c>
    </row>
    <row r="201" spans="1:8">
      <c r="A201" s="220">
        <v>43466</v>
      </c>
      <c r="B201" s="220">
        <v>43830</v>
      </c>
      <c r="C201" s="56" t="s">
        <v>5</v>
      </c>
      <c r="D201" s="56" t="s">
        <v>9</v>
      </c>
      <c r="E201" s="56">
        <v>2019</v>
      </c>
      <c r="F201" s="56">
        <v>495.88</v>
      </c>
      <c r="G201" t="s">
        <v>232</v>
      </c>
      <c r="H201">
        <v>645.61</v>
      </c>
    </row>
    <row r="202" spans="1:8">
      <c r="A202" s="220">
        <v>43466</v>
      </c>
      <c r="B202" s="220">
        <v>43830</v>
      </c>
      <c r="C202" s="56" t="s">
        <v>5</v>
      </c>
      <c r="D202" s="56" t="s">
        <v>9</v>
      </c>
      <c r="E202" s="56">
        <v>2019</v>
      </c>
      <c r="F202" s="56">
        <v>886.39</v>
      </c>
      <c r="G202" t="s">
        <v>232</v>
      </c>
      <c r="H202">
        <v>1154.04</v>
      </c>
    </row>
    <row r="203" spans="1:8">
      <c r="A203" s="220">
        <v>43466</v>
      </c>
      <c r="B203" s="220">
        <v>43830</v>
      </c>
      <c r="C203" s="56" t="s">
        <v>5</v>
      </c>
      <c r="D203" s="56" t="s">
        <v>9</v>
      </c>
      <c r="E203" s="56">
        <v>2019</v>
      </c>
      <c r="F203" s="56">
        <v>52.19</v>
      </c>
      <c r="G203" t="s">
        <v>232</v>
      </c>
      <c r="H203">
        <v>67.95</v>
      </c>
    </row>
    <row r="204" spans="1:8">
      <c r="A204" s="220">
        <v>43466</v>
      </c>
      <c r="B204" s="220">
        <v>43830</v>
      </c>
      <c r="C204" s="56" t="s">
        <v>5</v>
      </c>
      <c r="D204" s="56" t="s">
        <v>9</v>
      </c>
      <c r="E204" s="56">
        <v>2019</v>
      </c>
      <c r="F204" s="56">
        <v>1252.58</v>
      </c>
      <c r="G204" t="s">
        <v>232</v>
      </c>
      <c r="H204">
        <v>1630.8</v>
      </c>
    </row>
    <row r="205" spans="1:8">
      <c r="A205" s="220">
        <v>43466</v>
      </c>
      <c r="B205" s="220">
        <v>43830</v>
      </c>
      <c r="C205" s="56" t="s">
        <v>5</v>
      </c>
      <c r="D205" s="56" t="s">
        <v>9</v>
      </c>
      <c r="E205" s="56">
        <v>2019</v>
      </c>
      <c r="F205" s="56">
        <v>1096.21</v>
      </c>
      <c r="G205" t="s">
        <v>232</v>
      </c>
      <c r="H205">
        <v>1427.21</v>
      </c>
    </row>
    <row r="206" spans="1:8">
      <c r="A206" s="220">
        <v>43466</v>
      </c>
      <c r="B206" s="220">
        <v>43830</v>
      </c>
      <c r="C206" s="56" t="s">
        <v>5</v>
      </c>
      <c r="D206" s="56" t="s">
        <v>9</v>
      </c>
      <c r="E206" s="56">
        <v>2019</v>
      </c>
      <c r="F206" s="56">
        <v>985.1</v>
      </c>
      <c r="G206" t="s">
        <v>232</v>
      </c>
      <c r="H206">
        <v>1282.56</v>
      </c>
    </row>
    <row r="207" spans="1:8">
      <c r="A207" s="220">
        <v>43831</v>
      </c>
      <c r="B207" s="220">
        <v>44196</v>
      </c>
      <c r="C207" s="56" t="s">
        <v>5</v>
      </c>
      <c r="D207" s="56" t="s">
        <v>9</v>
      </c>
      <c r="E207" s="56">
        <v>2020</v>
      </c>
      <c r="F207" s="56">
        <v>1394.79</v>
      </c>
      <c r="G207" t="s">
        <v>232</v>
      </c>
      <c r="H207">
        <v>1940.88</v>
      </c>
    </row>
    <row r="208" spans="1:8">
      <c r="A208" s="220">
        <v>43466</v>
      </c>
      <c r="B208" s="220">
        <v>43830</v>
      </c>
      <c r="C208" s="56" t="s">
        <v>5</v>
      </c>
      <c r="D208" s="56" t="s">
        <v>9</v>
      </c>
      <c r="E208" s="56">
        <v>2019</v>
      </c>
      <c r="F208" s="56">
        <v>1170.3</v>
      </c>
      <c r="G208" t="s">
        <v>232</v>
      </c>
      <c r="H208">
        <v>1523.68</v>
      </c>
    </row>
    <row r="209" spans="1:8">
      <c r="A209" s="220">
        <v>43466</v>
      </c>
      <c r="B209" s="220">
        <v>43830</v>
      </c>
      <c r="C209" s="56" t="s">
        <v>5</v>
      </c>
      <c r="D209" s="56" t="s">
        <v>9</v>
      </c>
      <c r="E209" s="56">
        <v>2019</v>
      </c>
      <c r="F209" s="56">
        <v>871.55</v>
      </c>
      <c r="G209" t="s">
        <v>232</v>
      </c>
      <c r="H209">
        <v>1134.72</v>
      </c>
    </row>
    <row r="210" spans="1:8">
      <c r="A210" s="220">
        <v>43831</v>
      </c>
      <c r="B210" s="220">
        <v>44196</v>
      </c>
      <c r="C210" s="56" t="s">
        <v>5</v>
      </c>
      <c r="D210" s="56" t="s">
        <v>9</v>
      </c>
      <c r="E210" s="56">
        <v>2020</v>
      </c>
      <c r="F210" s="56">
        <v>2938.59</v>
      </c>
      <c r="G210" t="s">
        <v>232</v>
      </c>
      <c r="H210">
        <v>4089.12</v>
      </c>
    </row>
    <row r="211" spans="1:8">
      <c r="A211" s="220">
        <v>43831</v>
      </c>
      <c r="B211" s="220">
        <v>44196</v>
      </c>
      <c r="C211" s="56" t="s">
        <v>5</v>
      </c>
      <c r="D211" s="56" t="s">
        <v>9</v>
      </c>
      <c r="E211" s="56">
        <v>2020</v>
      </c>
      <c r="F211" s="56">
        <v>1189.55</v>
      </c>
      <c r="G211" t="s">
        <v>232</v>
      </c>
      <c r="H211">
        <v>1655.28</v>
      </c>
    </row>
    <row r="212" spans="1:8">
      <c r="A212" s="220">
        <v>43466</v>
      </c>
      <c r="B212" s="220">
        <v>43830</v>
      </c>
      <c r="C212" s="56" t="s">
        <v>5</v>
      </c>
      <c r="D212" s="56" t="s">
        <v>9</v>
      </c>
      <c r="E212" s="56">
        <v>2019</v>
      </c>
      <c r="F212" s="56">
        <v>717.17</v>
      </c>
      <c r="G212" t="s">
        <v>232</v>
      </c>
      <c r="H212">
        <v>933.72</v>
      </c>
    </row>
    <row r="213" spans="1:8">
      <c r="A213" s="220">
        <v>43831</v>
      </c>
      <c r="B213" s="220">
        <v>44196</v>
      </c>
      <c r="C213" s="56" t="s">
        <v>5</v>
      </c>
      <c r="D213" s="56" t="s">
        <v>9</v>
      </c>
      <c r="E213" s="56">
        <v>2020</v>
      </c>
      <c r="F213" s="56">
        <v>1469.3</v>
      </c>
      <c r="G213" t="s">
        <v>232</v>
      </c>
      <c r="H213">
        <v>2044.56</v>
      </c>
    </row>
    <row r="214" spans="1:8">
      <c r="A214" s="220">
        <v>43466</v>
      </c>
      <c r="B214" s="220">
        <v>43830</v>
      </c>
      <c r="C214" s="56" t="s">
        <v>5</v>
      </c>
      <c r="D214" s="56" t="s">
        <v>9</v>
      </c>
      <c r="E214" s="56">
        <v>2019</v>
      </c>
      <c r="F214" s="56">
        <v>1087.5999999999999</v>
      </c>
      <c r="G214" t="s">
        <v>232</v>
      </c>
      <c r="H214">
        <v>1416</v>
      </c>
    </row>
    <row r="215" spans="1:8">
      <c r="A215" s="220">
        <v>43466</v>
      </c>
      <c r="B215" s="220">
        <v>43830</v>
      </c>
      <c r="C215" s="56" t="s">
        <v>5</v>
      </c>
      <c r="D215" s="56" t="s">
        <v>9</v>
      </c>
      <c r="E215" s="56">
        <v>2019</v>
      </c>
      <c r="F215" s="56">
        <v>766.85</v>
      </c>
      <c r="G215" t="s">
        <v>232</v>
      </c>
      <c r="H215">
        <v>998.4</v>
      </c>
    </row>
    <row r="216" spans="1:8">
      <c r="A216" s="220">
        <v>43466</v>
      </c>
      <c r="B216" s="220">
        <v>43830</v>
      </c>
      <c r="C216" s="56" t="s">
        <v>5</v>
      </c>
      <c r="D216" s="56" t="s">
        <v>9</v>
      </c>
      <c r="E216" s="56">
        <v>2019</v>
      </c>
      <c r="F216" s="56">
        <v>337.16</v>
      </c>
      <c r="G216" t="s">
        <v>232</v>
      </c>
      <c r="H216">
        <v>438.97</v>
      </c>
    </row>
    <row r="217" spans="1:8">
      <c r="A217" s="220">
        <v>43466</v>
      </c>
      <c r="B217" s="220">
        <v>43830</v>
      </c>
      <c r="C217" s="56" t="s">
        <v>5</v>
      </c>
      <c r="D217" s="56" t="s">
        <v>9</v>
      </c>
      <c r="E217" s="56">
        <v>2019</v>
      </c>
      <c r="F217" s="56">
        <v>1682.64</v>
      </c>
      <c r="G217" t="s">
        <v>232</v>
      </c>
      <c r="H217">
        <v>2190.7199999999998</v>
      </c>
    </row>
    <row r="218" spans="1:8">
      <c r="A218" s="220">
        <v>43466</v>
      </c>
      <c r="B218" s="220">
        <v>43830</v>
      </c>
      <c r="C218" s="56" t="s">
        <v>5</v>
      </c>
      <c r="D218" s="56" t="s">
        <v>9</v>
      </c>
      <c r="E218" s="56">
        <v>2019</v>
      </c>
      <c r="F218" s="56">
        <v>1116.17</v>
      </c>
      <c r="G218" t="s">
        <v>232</v>
      </c>
      <c r="H218">
        <v>1453.2</v>
      </c>
    </row>
    <row r="219" spans="1:8">
      <c r="A219" s="220">
        <v>43466</v>
      </c>
      <c r="B219" s="220">
        <v>43830</v>
      </c>
      <c r="C219" s="56" t="s">
        <v>5</v>
      </c>
      <c r="D219" s="56" t="s">
        <v>9</v>
      </c>
      <c r="E219" s="56">
        <v>2019</v>
      </c>
      <c r="F219" s="56">
        <v>381.95</v>
      </c>
      <c r="G219" t="s">
        <v>232</v>
      </c>
      <c r="H219">
        <v>497.28</v>
      </c>
    </row>
    <row r="220" spans="1:8">
      <c r="A220" s="220">
        <v>43466</v>
      </c>
      <c r="B220" s="220">
        <v>43830</v>
      </c>
      <c r="C220" s="56" t="s">
        <v>5</v>
      </c>
      <c r="D220" s="56" t="s">
        <v>9</v>
      </c>
      <c r="E220" s="56">
        <v>2019</v>
      </c>
      <c r="F220" s="56">
        <v>797.72</v>
      </c>
      <c r="G220" t="s">
        <v>232</v>
      </c>
      <c r="H220">
        <v>1038.5999999999999</v>
      </c>
    </row>
    <row r="221" spans="1:8">
      <c r="A221" s="220">
        <v>43466</v>
      </c>
      <c r="B221" s="220">
        <v>43830</v>
      </c>
      <c r="C221" s="56" t="s">
        <v>5</v>
      </c>
      <c r="D221" s="56" t="s">
        <v>9</v>
      </c>
      <c r="E221" s="56">
        <v>2019</v>
      </c>
      <c r="F221" s="56">
        <v>3188.61</v>
      </c>
      <c r="G221" t="s">
        <v>232</v>
      </c>
      <c r="H221">
        <v>4151.42</v>
      </c>
    </row>
    <row r="222" spans="1:8">
      <c r="A222" s="220">
        <v>43466</v>
      </c>
      <c r="B222" s="220">
        <v>43830</v>
      </c>
      <c r="C222" s="56" t="s">
        <v>5</v>
      </c>
      <c r="D222" s="56" t="s">
        <v>9</v>
      </c>
      <c r="E222" s="56">
        <v>2019</v>
      </c>
      <c r="F222" s="56">
        <v>1172.8499999999999</v>
      </c>
      <c r="G222" t="s">
        <v>232</v>
      </c>
      <c r="H222">
        <v>1527</v>
      </c>
    </row>
    <row r="223" spans="1:8">
      <c r="A223" s="220">
        <v>43831</v>
      </c>
      <c r="B223" s="220">
        <v>44196</v>
      </c>
      <c r="C223" s="56" t="s">
        <v>5</v>
      </c>
      <c r="D223" s="56" t="s">
        <v>9</v>
      </c>
      <c r="E223" s="56">
        <v>2020</v>
      </c>
      <c r="F223" s="56">
        <v>2587.87</v>
      </c>
      <c r="G223" t="s">
        <v>232</v>
      </c>
      <c r="H223">
        <v>3601.08</v>
      </c>
    </row>
    <row r="224" spans="1:8">
      <c r="A224" s="220">
        <v>43831</v>
      </c>
      <c r="B224" s="220">
        <v>44196</v>
      </c>
      <c r="C224" s="56" t="s">
        <v>5</v>
      </c>
      <c r="D224" s="56" t="s">
        <v>9</v>
      </c>
      <c r="E224" s="56">
        <v>2020</v>
      </c>
      <c r="F224" s="56">
        <v>460.24</v>
      </c>
      <c r="G224" t="s">
        <v>232</v>
      </c>
      <c r="H224">
        <v>640.44000000000005</v>
      </c>
    </row>
    <row r="225" spans="1:8">
      <c r="A225" s="220">
        <v>43466</v>
      </c>
      <c r="B225" s="220">
        <v>43830</v>
      </c>
      <c r="C225" s="56" t="s">
        <v>5</v>
      </c>
      <c r="D225" s="56" t="s">
        <v>9</v>
      </c>
      <c r="E225" s="56">
        <v>2019</v>
      </c>
      <c r="F225" s="56">
        <v>850.08</v>
      </c>
      <c r="G225" t="s">
        <v>232</v>
      </c>
      <c r="H225">
        <v>1106.76</v>
      </c>
    </row>
    <row r="226" spans="1:8">
      <c r="A226" s="220">
        <v>43466</v>
      </c>
      <c r="B226" s="220">
        <v>43830</v>
      </c>
      <c r="C226" s="56" t="s">
        <v>5</v>
      </c>
      <c r="D226" s="56" t="s">
        <v>9</v>
      </c>
      <c r="E226" s="56">
        <v>2019</v>
      </c>
      <c r="F226" s="56">
        <v>599.74</v>
      </c>
      <c r="G226" t="s">
        <v>232</v>
      </c>
      <c r="H226">
        <v>780.84</v>
      </c>
    </row>
    <row r="227" spans="1:8">
      <c r="A227" s="220">
        <v>43831</v>
      </c>
      <c r="B227" s="220">
        <v>44196</v>
      </c>
      <c r="C227" s="56" t="s">
        <v>5</v>
      </c>
      <c r="D227" s="56" t="s">
        <v>9</v>
      </c>
      <c r="E227" s="56">
        <v>2020</v>
      </c>
      <c r="F227" s="56">
        <v>508.79</v>
      </c>
      <c r="G227" t="s">
        <v>232</v>
      </c>
      <c r="H227">
        <v>708</v>
      </c>
    </row>
    <row r="228" spans="1:8">
      <c r="A228" s="220">
        <v>43831</v>
      </c>
      <c r="B228" s="220">
        <v>44196</v>
      </c>
      <c r="C228" s="56" t="s">
        <v>5</v>
      </c>
      <c r="D228" s="56" t="s">
        <v>9</v>
      </c>
      <c r="E228" s="56">
        <v>2020</v>
      </c>
      <c r="F228" s="56">
        <v>862.62</v>
      </c>
      <c r="G228" t="s">
        <v>232</v>
      </c>
      <c r="H228">
        <v>1200.3599999999999</v>
      </c>
    </row>
    <row r="229" spans="1:8">
      <c r="A229" s="220">
        <v>43466</v>
      </c>
      <c r="B229" s="220">
        <v>43830</v>
      </c>
      <c r="C229" s="56" t="s">
        <v>5</v>
      </c>
      <c r="D229" s="56" t="s">
        <v>9</v>
      </c>
      <c r="E229" s="56">
        <v>2019</v>
      </c>
      <c r="F229" s="56">
        <v>908.23</v>
      </c>
      <c r="G229" t="s">
        <v>232</v>
      </c>
      <c r="H229">
        <v>1182.48</v>
      </c>
    </row>
    <row r="230" spans="1:8">
      <c r="A230" s="220">
        <v>43466</v>
      </c>
      <c r="B230" s="220">
        <v>43830</v>
      </c>
      <c r="C230" s="56" t="s">
        <v>5</v>
      </c>
      <c r="D230" s="56" t="s">
        <v>9</v>
      </c>
      <c r="E230" s="56">
        <v>2019</v>
      </c>
      <c r="F230" s="56">
        <v>761.96</v>
      </c>
      <c r="G230" t="s">
        <v>232</v>
      </c>
      <c r="H230">
        <v>992.04</v>
      </c>
    </row>
    <row r="231" spans="1:8">
      <c r="A231" s="220">
        <v>43466</v>
      </c>
      <c r="B231" s="220">
        <v>43830</v>
      </c>
      <c r="C231" s="56" t="s">
        <v>5</v>
      </c>
      <c r="D231" s="56" t="s">
        <v>9</v>
      </c>
      <c r="E231" s="56">
        <v>2019</v>
      </c>
      <c r="F231" s="56">
        <v>2523.96</v>
      </c>
      <c r="G231" t="s">
        <v>232</v>
      </c>
      <c r="H231">
        <v>3286.08</v>
      </c>
    </row>
    <row r="232" spans="1:8">
      <c r="A232" s="220">
        <v>43831</v>
      </c>
      <c r="B232" s="220">
        <v>44196</v>
      </c>
      <c r="C232" s="56" t="s">
        <v>5</v>
      </c>
      <c r="D232" s="56" t="s">
        <v>9</v>
      </c>
      <c r="E232" s="56">
        <v>2020</v>
      </c>
      <c r="F232" s="56">
        <v>2307.11</v>
      </c>
      <c r="G232" t="s">
        <v>232</v>
      </c>
      <c r="H232">
        <v>3210.4</v>
      </c>
    </row>
    <row r="233" spans="1:8">
      <c r="A233" s="220">
        <v>43831</v>
      </c>
      <c r="B233" s="220">
        <v>44196</v>
      </c>
      <c r="C233" s="56" t="s">
        <v>5</v>
      </c>
      <c r="D233" s="56" t="s">
        <v>9</v>
      </c>
      <c r="E233" s="56">
        <v>2020</v>
      </c>
      <c r="F233" s="56">
        <v>1011.63</v>
      </c>
      <c r="G233" t="s">
        <v>232</v>
      </c>
      <c r="H233">
        <v>1407.71</v>
      </c>
    </row>
    <row r="234" spans="1:8">
      <c r="A234" s="220">
        <v>43831</v>
      </c>
      <c r="B234" s="220">
        <v>44196</v>
      </c>
      <c r="C234" s="56" t="s">
        <v>5</v>
      </c>
      <c r="D234" s="56" t="s">
        <v>9</v>
      </c>
      <c r="E234" s="56">
        <v>2020</v>
      </c>
      <c r="F234" s="56">
        <v>2422.04</v>
      </c>
      <c r="G234" t="s">
        <v>232</v>
      </c>
      <c r="H234">
        <v>3370.32</v>
      </c>
    </row>
    <row r="235" spans="1:8">
      <c r="A235" s="220">
        <v>43831</v>
      </c>
      <c r="B235" s="220">
        <v>44196</v>
      </c>
      <c r="C235" s="56" t="s">
        <v>5</v>
      </c>
      <c r="D235" s="56" t="s">
        <v>9</v>
      </c>
      <c r="E235" s="56">
        <v>2020</v>
      </c>
      <c r="F235" s="56">
        <v>1351.5</v>
      </c>
      <c r="G235" t="s">
        <v>232</v>
      </c>
      <c r="H235">
        <v>1880.64</v>
      </c>
    </row>
    <row r="236" spans="1:8">
      <c r="A236" s="220">
        <v>43466</v>
      </c>
      <c r="B236" s="220">
        <v>43830</v>
      </c>
      <c r="C236" s="56" t="s">
        <v>5</v>
      </c>
      <c r="D236" s="56" t="s">
        <v>9</v>
      </c>
      <c r="E236" s="56">
        <v>2019</v>
      </c>
      <c r="F236" s="56">
        <v>2288.44</v>
      </c>
      <c r="G236" t="s">
        <v>232</v>
      </c>
      <c r="H236">
        <v>2979.45</v>
      </c>
    </row>
    <row r="237" spans="1:8">
      <c r="A237" s="220">
        <v>43466</v>
      </c>
      <c r="B237" s="220">
        <v>43830</v>
      </c>
      <c r="C237" s="56" t="s">
        <v>5</v>
      </c>
      <c r="D237" s="56" t="s">
        <v>9</v>
      </c>
      <c r="E237" s="56">
        <v>2019</v>
      </c>
      <c r="F237" s="56">
        <v>734.22</v>
      </c>
      <c r="G237" t="s">
        <v>232</v>
      </c>
      <c r="H237">
        <v>955.92</v>
      </c>
    </row>
    <row r="238" spans="1:8">
      <c r="A238" s="220">
        <v>43466</v>
      </c>
      <c r="B238" s="220">
        <v>43830</v>
      </c>
      <c r="C238" s="56" t="s">
        <v>5</v>
      </c>
      <c r="D238" s="56" t="s">
        <v>9</v>
      </c>
      <c r="E238" s="56">
        <v>2019</v>
      </c>
      <c r="F238" s="56">
        <v>841.32</v>
      </c>
      <c r="G238" t="s">
        <v>232</v>
      </c>
      <c r="H238">
        <v>1095.3599999999999</v>
      </c>
    </row>
    <row r="239" spans="1:8">
      <c r="A239" s="220">
        <v>43831</v>
      </c>
      <c r="B239" s="220">
        <v>44196</v>
      </c>
      <c r="C239" s="56" t="s">
        <v>5</v>
      </c>
      <c r="D239" s="56" t="s">
        <v>9</v>
      </c>
      <c r="E239" s="56">
        <v>2020</v>
      </c>
      <c r="F239" s="56">
        <v>2101.9899999999998</v>
      </c>
      <c r="G239" t="s">
        <v>232</v>
      </c>
      <c r="H239">
        <v>2924.97</v>
      </c>
    </row>
    <row r="240" spans="1:8">
      <c r="A240" s="220">
        <v>43831</v>
      </c>
      <c r="B240" s="220">
        <v>44196</v>
      </c>
      <c r="C240" s="56" t="s">
        <v>5</v>
      </c>
      <c r="D240" s="56" t="s">
        <v>9</v>
      </c>
      <c r="E240" s="56">
        <v>2020</v>
      </c>
      <c r="F240" s="56">
        <v>727.86</v>
      </c>
      <c r="G240" t="s">
        <v>232</v>
      </c>
      <c r="H240">
        <v>1012.84</v>
      </c>
    </row>
    <row r="241" spans="1:8">
      <c r="A241" s="220">
        <v>43466</v>
      </c>
      <c r="B241" s="220">
        <v>43830</v>
      </c>
      <c r="C241" s="56" t="s">
        <v>5</v>
      </c>
      <c r="D241" s="56" t="s">
        <v>9</v>
      </c>
      <c r="E241" s="56">
        <v>2019</v>
      </c>
      <c r="F241" s="56">
        <v>3657.69</v>
      </c>
      <c r="G241" t="s">
        <v>232</v>
      </c>
      <c r="H241">
        <v>4762.1400000000003</v>
      </c>
    </row>
    <row r="242" spans="1:8">
      <c r="A242" s="220">
        <v>43831</v>
      </c>
      <c r="B242" s="220">
        <v>44196</v>
      </c>
      <c r="C242" s="56" t="s">
        <v>5</v>
      </c>
      <c r="D242" s="56" t="s">
        <v>9</v>
      </c>
      <c r="E242" s="56">
        <v>2020</v>
      </c>
      <c r="F242" s="56">
        <v>530.01</v>
      </c>
      <c r="G242" t="s">
        <v>232</v>
      </c>
      <c r="H242">
        <v>737.52</v>
      </c>
    </row>
    <row r="243" spans="1:8">
      <c r="A243" s="220">
        <v>43831</v>
      </c>
      <c r="B243" s="220">
        <v>44196</v>
      </c>
      <c r="C243" s="56" t="s">
        <v>5</v>
      </c>
      <c r="D243" s="56" t="s">
        <v>9</v>
      </c>
      <c r="E243" s="56">
        <v>2020</v>
      </c>
      <c r="F243" s="56">
        <v>317.18</v>
      </c>
      <c r="G243" t="s">
        <v>232</v>
      </c>
      <c r="H243">
        <v>441.36</v>
      </c>
    </row>
    <row r="244" spans="1:8">
      <c r="A244" s="220">
        <v>43831</v>
      </c>
      <c r="B244" s="220">
        <v>44196</v>
      </c>
      <c r="C244" s="56" t="s">
        <v>5</v>
      </c>
      <c r="D244" s="56" t="s">
        <v>9</v>
      </c>
      <c r="E244" s="56">
        <v>2020</v>
      </c>
      <c r="F244" s="56">
        <v>1394.79</v>
      </c>
      <c r="G244" t="s">
        <v>232</v>
      </c>
      <c r="H244">
        <v>1940.88</v>
      </c>
    </row>
    <row r="245" spans="1:8">
      <c r="A245" s="220">
        <v>43466</v>
      </c>
      <c r="B245" s="220">
        <v>43830</v>
      </c>
      <c r="C245" s="56" t="s">
        <v>5</v>
      </c>
      <c r="D245" s="56" t="s">
        <v>9</v>
      </c>
      <c r="E245" s="56">
        <v>2019</v>
      </c>
      <c r="F245" s="56">
        <v>1249.1099999999999</v>
      </c>
      <c r="G245" t="s">
        <v>232</v>
      </c>
      <c r="H245">
        <v>1626.28</v>
      </c>
    </row>
    <row r="246" spans="1:8">
      <c r="A246" s="220">
        <v>43831</v>
      </c>
      <c r="B246" s="220">
        <v>44196</v>
      </c>
      <c r="C246" s="56" t="s">
        <v>5</v>
      </c>
      <c r="D246" s="56" t="s">
        <v>9</v>
      </c>
      <c r="E246" s="56">
        <v>2020</v>
      </c>
      <c r="F246" s="56">
        <v>1362.19</v>
      </c>
      <c r="G246" t="s">
        <v>232</v>
      </c>
      <c r="H246">
        <v>1895.52</v>
      </c>
    </row>
    <row r="247" spans="1:8">
      <c r="A247" s="220">
        <v>43466</v>
      </c>
      <c r="B247" s="220">
        <v>43830</v>
      </c>
      <c r="C247" s="56" t="s">
        <v>5</v>
      </c>
      <c r="D247" s="56" t="s">
        <v>9</v>
      </c>
      <c r="E247" s="56">
        <v>2019</v>
      </c>
      <c r="F247" s="56">
        <v>1583.1</v>
      </c>
      <c r="G247" t="s">
        <v>232</v>
      </c>
      <c r="H247">
        <v>2061.12</v>
      </c>
    </row>
    <row r="248" spans="1:8">
      <c r="A248" s="220">
        <v>43831</v>
      </c>
      <c r="B248" s="220">
        <v>44196</v>
      </c>
      <c r="C248" s="56" t="s">
        <v>5</v>
      </c>
      <c r="D248" s="56" t="s">
        <v>9</v>
      </c>
      <c r="E248" s="56">
        <v>2020</v>
      </c>
      <c r="F248" s="56">
        <v>1503.45</v>
      </c>
      <c r="G248" t="s">
        <v>232</v>
      </c>
      <c r="H248">
        <v>2092.08</v>
      </c>
    </row>
    <row r="249" spans="1:8">
      <c r="A249" s="220">
        <v>43831</v>
      </c>
      <c r="B249" s="220">
        <v>44196</v>
      </c>
      <c r="C249" s="56" t="s">
        <v>5</v>
      </c>
      <c r="D249" s="56" t="s">
        <v>9</v>
      </c>
      <c r="E249" s="56">
        <v>2020</v>
      </c>
      <c r="F249" s="56">
        <v>1590.03</v>
      </c>
      <c r="G249" t="s">
        <v>232</v>
      </c>
      <c r="H249">
        <v>2212.56</v>
      </c>
    </row>
    <row r="250" spans="1:8">
      <c r="A250" s="220">
        <v>43831</v>
      </c>
      <c r="B250" s="220">
        <v>44196</v>
      </c>
      <c r="C250" s="56" t="s">
        <v>5</v>
      </c>
      <c r="D250" s="56" t="s">
        <v>9</v>
      </c>
      <c r="E250" s="56">
        <v>2020</v>
      </c>
      <c r="F250" s="56">
        <v>1586.42</v>
      </c>
      <c r="G250" t="s">
        <v>232</v>
      </c>
      <c r="H250">
        <v>2207.54</v>
      </c>
    </row>
    <row r="251" spans="1:8">
      <c r="A251" s="220">
        <v>43466</v>
      </c>
      <c r="B251" s="220">
        <v>43830</v>
      </c>
      <c r="C251" s="56" t="s">
        <v>5</v>
      </c>
      <c r="D251" s="56" t="s">
        <v>9</v>
      </c>
      <c r="E251" s="56">
        <v>2019</v>
      </c>
      <c r="F251" s="56">
        <v>435.08</v>
      </c>
      <c r="G251" t="s">
        <v>232</v>
      </c>
      <c r="H251">
        <v>566.46</v>
      </c>
    </row>
    <row r="252" spans="1:8">
      <c r="A252" s="220">
        <v>43466</v>
      </c>
      <c r="B252" s="220">
        <v>43830</v>
      </c>
      <c r="C252" s="56" t="s">
        <v>5</v>
      </c>
      <c r="D252" s="56" t="s">
        <v>9</v>
      </c>
      <c r="E252" s="56">
        <v>2019</v>
      </c>
      <c r="F252" s="56">
        <v>2316.81</v>
      </c>
      <c r="G252" t="s">
        <v>232</v>
      </c>
      <c r="H252">
        <v>3016.38</v>
      </c>
    </row>
    <row r="253" spans="1:8">
      <c r="A253" s="220">
        <v>43466</v>
      </c>
      <c r="B253" s="220">
        <v>43830</v>
      </c>
      <c r="C253" s="56" t="s">
        <v>5</v>
      </c>
      <c r="D253" s="56" t="s">
        <v>9</v>
      </c>
      <c r="E253" s="56">
        <v>2019</v>
      </c>
      <c r="F253" s="56">
        <v>548.67999999999995</v>
      </c>
      <c r="G253" t="s">
        <v>232</v>
      </c>
      <c r="H253">
        <v>714.35</v>
      </c>
    </row>
    <row r="254" spans="1:8">
      <c r="A254" s="220">
        <v>43831</v>
      </c>
      <c r="B254" s="220">
        <v>44196</v>
      </c>
      <c r="C254" s="56" t="s">
        <v>5</v>
      </c>
      <c r="D254" s="56" t="s">
        <v>9</v>
      </c>
      <c r="E254" s="56">
        <v>2020</v>
      </c>
      <c r="F254" s="56">
        <v>2938.59</v>
      </c>
      <c r="G254" t="s">
        <v>232</v>
      </c>
      <c r="H254">
        <v>4089.12</v>
      </c>
    </row>
    <row r="255" spans="1:8">
      <c r="A255" s="220">
        <v>43831</v>
      </c>
      <c r="B255" s="220">
        <v>44196</v>
      </c>
      <c r="C255" s="56" t="s">
        <v>5</v>
      </c>
      <c r="D255" s="56" t="s">
        <v>9</v>
      </c>
      <c r="E255" s="56">
        <v>2020</v>
      </c>
      <c r="F255" s="56">
        <v>654.09</v>
      </c>
      <c r="G255" t="s">
        <v>232</v>
      </c>
      <c r="H255">
        <v>910.18</v>
      </c>
    </row>
    <row r="256" spans="1:8">
      <c r="A256" s="220">
        <v>43466</v>
      </c>
      <c r="B256" s="220">
        <v>43830</v>
      </c>
      <c r="C256" s="56" t="s">
        <v>5</v>
      </c>
      <c r="D256" s="56" t="s">
        <v>9</v>
      </c>
      <c r="E256" s="56">
        <v>2019</v>
      </c>
      <c r="F256" s="56">
        <v>5242.53</v>
      </c>
      <c r="G256" t="s">
        <v>232</v>
      </c>
      <c r="H256">
        <v>6825.53</v>
      </c>
    </row>
    <row r="257" spans="1:8">
      <c r="A257" s="220">
        <v>43831</v>
      </c>
      <c r="B257" s="220">
        <v>44196</v>
      </c>
      <c r="C257" s="56" t="s">
        <v>5</v>
      </c>
      <c r="D257" s="56" t="s">
        <v>9</v>
      </c>
      <c r="E257" s="56">
        <v>2020</v>
      </c>
      <c r="F257" s="56">
        <v>751.72</v>
      </c>
      <c r="G257" t="s">
        <v>232</v>
      </c>
      <c r="H257">
        <v>1046.04</v>
      </c>
    </row>
    <row r="258" spans="1:8">
      <c r="A258" s="220">
        <v>43831</v>
      </c>
      <c r="B258" s="220">
        <v>44196</v>
      </c>
      <c r="C258" s="56" t="s">
        <v>5</v>
      </c>
      <c r="D258" s="56" t="s">
        <v>9</v>
      </c>
      <c r="E258" s="56">
        <v>2020</v>
      </c>
      <c r="F258" s="56">
        <v>560.19000000000005</v>
      </c>
      <c r="G258" t="s">
        <v>232</v>
      </c>
      <c r="H258">
        <v>779.52</v>
      </c>
    </row>
    <row r="259" spans="1:8">
      <c r="A259" s="220">
        <v>43466</v>
      </c>
      <c r="B259" s="220">
        <v>43830</v>
      </c>
      <c r="C259" s="56" t="s">
        <v>5</v>
      </c>
      <c r="D259" s="56" t="s">
        <v>9</v>
      </c>
      <c r="E259" s="56">
        <v>2019</v>
      </c>
      <c r="F259" s="56">
        <v>2462.7600000000002</v>
      </c>
      <c r="G259" t="s">
        <v>232</v>
      </c>
      <c r="H259">
        <v>3206.4</v>
      </c>
    </row>
    <row r="260" spans="1:8">
      <c r="A260" s="220">
        <v>43466</v>
      </c>
      <c r="B260" s="220">
        <v>43830</v>
      </c>
      <c r="C260" s="56" t="s">
        <v>5</v>
      </c>
      <c r="D260" s="56" t="s">
        <v>9</v>
      </c>
      <c r="E260" s="56">
        <v>2019</v>
      </c>
      <c r="F260" s="56">
        <v>791.55</v>
      </c>
      <c r="G260" t="s">
        <v>232</v>
      </c>
      <c r="H260">
        <v>1030.56</v>
      </c>
    </row>
    <row r="261" spans="1:8">
      <c r="A261" s="220">
        <v>43466</v>
      </c>
      <c r="B261" s="220">
        <v>43830</v>
      </c>
      <c r="C261" s="56" t="s">
        <v>5</v>
      </c>
      <c r="D261" s="56" t="s">
        <v>9</v>
      </c>
      <c r="E261" s="56">
        <v>2019</v>
      </c>
      <c r="F261" s="56">
        <v>687.86</v>
      </c>
      <c r="G261" t="s">
        <v>232</v>
      </c>
      <c r="H261">
        <v>895.56</v>
      </c>
    </row>
    <row r="262" spans="1:8">
      <c r="A262" s="220">
        <v>43466</v>
      </c>
      <c r="B262" s="220">
        <v>43830</v>
      </c>
      <c r="C262" s="56" t="s">
        <v>5</v>
      </c>
      <c r="D262" s="56" t="s">
        <v>9</v>
      </c>
      <c r="E262" s="56">
        <v>2019</v>
      </c>
      <c r="F262" s="56">
        <v>951.65</v>
      </c>
      <c r="G262" t="s">
        <v>232</v>
      </c>
      <c r="H262">
        <v>1239</v>
      </c>
    </row>
    <row r="263" spans="1:8">
      <c r="A263" s="220">
        <v>43831</v>
      </c>
      <c r="B263" s="220">
        <v>44196</v>
      </c>
      <c r="C263" s="56" t="s">
        <v>5</v>
      </c>
      <c r="D263" s="56" t="s">
        <v>9</v>
      </c>
      <c r="E263" s="56">
        <v>2020</v>
      </c>
      <c r="F263" s="56">
        <v>1306.6500000000001</v>
      </c>
      <c r="G263" t="s">
        <v>232</v>
      </c>
      <c r="H263">
        <v>1818.24</v>
      </c>
    </row>
    <row r="264" spans="1:8">
      <c r="A264" s="220">
        <v>43466</v>
      </c>
      <c r="B264" s="220">
        <v>43830</v>
      </c>
      <c r="C264" s="56" t="s">
        <v>5</v>
      </c>
      <c r="D264" s="56" t="s">
        <v>9</v>
      </c>
      <c r="E264" s="56">
        <v>2019</v>
      </c>
      <c r="F264" s="56">
        <v>497.07</v>
      </c>
      <c r="G264" t="s">
        <v>232</v>
      </c>
      <c r="H264">
        <v>647.16</v>
      </c>
    </row>
    <row r="265" spans="1:8">
      <c r="A265" s="220">
        <v>43831</v>
      </c>
      <c r="B265" s="220">
        <v>44196</v>
      </c>
      <c r="C265" s="56" t="s">
        <v>5</v>
      </c>
      <c r="D265" s="56" t="s">
        <v>9</v>
      </c>
      <c r="E265" s="56">
        <v>2020</v>
      </c>
      <c r="F265" s="56">
        <v>1598.13</v>
      </c>
      <c r="G265" t="s">
        <v>232</v>
      </c>
      <c r="H265">
        <v>2223.84</v>
      </c>
    </row>
    <row r="266" spans="1:8">
      <c r="A266" s="220">
        <v>43831</v>
      </c>
      <c r="B266" s="220">
        <v>44196</v>
      </c>
      <c r="C266" s="56" t="s">
        <v>5</v>
      </c>
      <c r="D266" s="56" t="s">
        <v>9</v>
      </c>
      <c r="E266" s="56">
        <v>2020</v>
      </c>
      <c r="F266" s="56">
        <v>1091.5899999999999</v>
      </c>
      <c r="G266" t="s">
        <v>232</v>
      </c>
      <c r="H266">
        <v>1518.97</v>
      </c>
    </row>
    <row r="267" spans="1:8">
      <c r="A267" s="220">
        <v>43466</v>
      </c>
      <c r="B267" s="220">
        <v>43830</v>
      </c>
      <c r="C267" s="56" t="s">
        <v>5</v>
      </c>
      <c r="D267" s="56" t="s">
        <v>9</v>
      </c>
      <c r="E267" s="56">
        <v>2019</v>
      </c>
      <c r="F267" s="56">
        <v>1514.89</v>
      </c>
      <c r="G267" t="s">
        <v>232</v>
      </c>
      <c r="H267">
        <v>1972.32</v>
      </c>
    </row>
    <row r="268" spans="1:8">
      <c r="A268" s="220">
        <v>43831</v>
      </c>
      <c r="B268" s="220">
        <v>44196</v>
      </c>
      <c r="C268" s="56" t="s">
        <v>5</v>
      </c>
      <c r="D268" s="56" t="s">
        <v>9</v>
      </c>
      <c r="E268" s="56">
        <v>2020</v>
      </c>
      <c r="F268" s="56">
        <v>2203.94</v>
      </c>
      <c r="G268" t="s">
        <v>232</v>
      </c>
      <c r="H268">
        <v>3066.84</v>
      </c>
    </row>
    <row r="269" spans="1:8">
      <c r="A269" s="220">
        <v>43466</v>
      </c>
      <c r="B269" s="220">
        <v>43830</v>
      </c>
      <c r="C269" s="56" t="s">
        <v>5</v>
      </c>
      <c r="D269" s="56" t="s">
        <v>9</v>
      </c>
      <c r="E269" s="56">
        <v>2019</v>
      </c>
      <c r="F269" s="56">
        <v>430.58</v>
      </c>
      <c r="G269" t="s">
        <v>232</v>
      </c>
      <c r="H269">
        <v>560.59</v>
      </c>
    </row>
    <row r="270" spans="1:8">
      <c r="A270" s="220">
        <v>43466</v>
      </c>
      <c r="B270" s="220">
        <v>43830</v>
      </c>
      <c r="C270" s="56" t="s">
        <v>5</v>
      </c>
      <c r="D270" s="56" t="s">
        <v>9</v>
      </c>
      <c r="E270" s="56">
        <v>2019</v>
      </c>
      <c r="F270" s="56">
        <v>178.56</v>
      </c>
      <c r="G270" t="s">
        <v>232</v>
      </c>
      <c r="H270">
        <v>232.48</v>
      </c>
    </row>
    <row r="271" spans="1:8">
      <c r="A271" s="220">
        <v>43831</v>
      </c>
      <c r="B271" s="220">
        <v>44196</v>
      </c>
      <c r="C271" s="56" t="s">
        <v>5</v>
      </c>
      <c r="D271" s="56" t="s">
        <v>9</v>
      </c>
      <c r="E271" s="56">
        <v>2020</v>
      </c>
      <c r="F271" s="56">
        <v>568.25</v>
      </c>
      <c r="G271" t="s">
        <v>232</v>
      </c>
      <c r="H271">
        <v>790.74</v>
      </c>
    </row>
    <row r="272" spans="1:8">
      <c r="A272" s="220">
        <v>43831</v>
      </c>
      <c r="B272" s="220">
        <v>44196</v>
      </c>
      <c r="C272" s="56" t="s">
        <v>5</v>
      </c>
      <c r="D272" s="56" t="s">
        <v>9</v>
      </c>
      <c r="E272" s="56">
        <v>2020</v>
      </c>
      <c r="F272" s="56">
        <v>347.45</v>
      </c>
      <c r="G272" t="s">
        <v>232</v>
      </c>
      <c r="H272">
        <v>483.49</v>
      </c>
    </row>
    <row r="273" spans="1:8">
      <c r="A273" s="220">
        <v>43831</v>
      </c>
      <c r="B273" s="220">
        <v>44196</v>
      </c>
      <c r="C273" s="56" t="s">
        <v>5</v>
      </c>
      <c r="D273" s="56" t="s">
        <v>9</v>
      </c>
      <c r="E273" s="56">
        <v>2020</v>
      </c>
      <c r="F273" s="56">
        <v>460.24</v>
      </c>
      <c r="G273" t="s">
        <v>232</v>
      </c>
      <c r="H273">
        <v>640.44000000000005</v>
      </c>
    </row>
    <row r="274" spans="1:8">
      <c r="A274" s="220">
        <v>43466</v>
      </c>
      <c r="B274" s="220">
        <v>43830</v>
      </c>
      <c r="C274" s="56" t="s">
        <v>5</v>
      </c>
      <c r="D274" s="56" t="s">
        <v>9</v>
      </c>
      <c r="E274" s="56">
        <v>2019</v>
      </c>
      <c r="F274" s="56">
        <v>447.33</v>
      </c>
      <c r="G274" t="s">
        <v>232</v>
      </c>
      <c r="H274">
        <v>582.4</v>
      </c>
    </row>
    <row r="275" spans="1:8">
      <c r="A275" s="220">
        <v>43466</v>
      </c>
      <c r="B275" s="220">
        <v>43830</v>
      </c>
      <c r="C275" s="56" t="s">
        <v>5</v>
      </c>
      <c r="D275" s="56" t="s">
        <v>9</v>
      </c>
      <c r="E275" s="56">
        <v>2019</v>
      </c>
      <c r="F275" s="56">
        <v>1189.9000000000001</v>
      </c>
      <c r="G275" t="s">
        <v>232</v>
      </c>
      <c r="H275">
        <v>1549.2</v>
      </c>
    </row>
    <row r="276" spans="1:8">
      <c r="A276" s="220">
        <v>43831</v>
      </c>
      <c r="B276" s="220">
        <v>44196</v>
      </c>
      <c r="C276" s="56" t="s">
        <v>5</v>
      </c>
      <c r="D276" s="56" t="s">
        <v>9</v>
      </c>
      <c r="E276" s="56">
        <v>2020</v>
      </c>
      <c r="F276" s="56">
        <v>4455.66</v>
      </c>
      <c r="G276" t="s">
        <v>232</v>
      </c>
      <c r="H276">
        <v>6200.16</v>
      </c>
    </row>
    <row r="277" spans="1:8">
      <c r="A277" s="220">
        <v>43831</v>
      </c>
      <c r="B277" s="220">
        <v>44196</v>
      </c>
      <c r="C277" s="56" t="s">
        <v>5</v>
      </c>
      <c r="D277" s="56" t="s">
        <v>9</v>
      </c>
      <c r="E277" s="56">
        <v>2020</v>
      </c>
      <c r="F277" s="56">
        <v>20398.63</v>
      </c>
      <c r="G277" t="s">
        <v>232</v>
      </c>
      <c r="H277">
        <v>28385.17</v>
      </c>
    </row>
    <row r="278" spans="1:8">
      <c r="A278" s="220">
        <v>43466</v>
      </c>
      <c r="B278" s="220">
        <v>43830</v>
      </c>
      <c r="C278" s="56" t="s">
        <v>5</v>
      </c>
      <c r="D278" s="56" t="s">
        <v>9</v>
      </c>
      <c r="E278" s="56">
        <v>2019</v>
      </c>
      <c r="F278" s="56">
        <v>1700.15</v>
      </c>
      <c r="G278" t="s">
        <v>232</v>
      </c>
      <c r="H278">
        <v>2213.52</v>
      </c>
    </row>
    <row r="279" spans="1:8">
      <c r="A279" s="220">
        <v>43831</v>
      </c>
      <c r="B279" s="220">
        <v>44196</v>
      </c>
      <c r="C279" s="56" t="s">
        <v>5</v>
      </c>
      <c r="D279" s="56" t="s">
        <v>9</v>
      </c>
      <c r="E279" s="56">
        <v>2020</v>
      </c>
      <c r="F279" s="56">
        <v>759.57</v>
      </c>
      <c r="G279" t="s">
        <v>232</v>
      </c>
      <c r="H279">
        <v>1056.96</v>
      </c>
    </row>
    <row r="280" spans="1:8">
      <c r="A280" s="220">
        <v>43831</v>
      </c>
      <c r="B280" s="220">
        <v>44196</v>
      </c>
      <c r="C280" s="56" t="s">
        <v>5</v>
      </c>
      <c r="D280" s="56" t="s">
        <v>9</v>
      </c>
      <c r="E280" s="56">
        <v>2020</v>
      </c>
      <c r="F280" s="56">
        <v>833.65</v>
      </c>
      <c r="G280" t="s">
        <v>232</v>
      </c>
      <c r="H280">
        <v>1160.04</v>
      </c>
    </row>
    <row r="281" spans="1:8">
      <c r="A281" s="220">
        <v>43831</v>
      </c>
      <c r="B281" s="220">
        <v>44196</v>
      </c>
      <c r="C281" s="56" t="s">
        <v>5</v>
      </c>
      <c r="D281" s="56" t="s">
        <v>9</v>
      </c>
      <c r="E281" s="56">
        <v>2020</v>
      </c>
      <c r="F281" s="56">
        <v>1308.47</v>
      </c>
      <c r="G281" t="s">
        <v>232</v>
      </c>
      <c r="H281">
        <v>1820.76</v>
      </c>
    </row>
    <row r="282" spans="1:8">
      <c r="A282" s="220">
        <v>43466</v>
      </c>
      <c r="B282" s="220">
        <v>43830</v>
      </c>
      <c r="C282" s="56" t="s">
        <v>5</v>
      </c>
      <c r="D282" s="56" t="s">
        <v>9</v>
      </c>
      <c r="E282" s="56">
        <v>2019</v>
      </c>
      <c r="F282" s="56">
        <v>543.79999999999995</v>
      </c>
      <c r="G282" t="s">
        <v>232</v>
      </c>
      <c r="H282">
        <v>708</v>
      </c>
    </row>
    <row r="283" spans="1:8">
      <c r="A283" s="220">
        <v>43466</v>
      </c>
      <c r="B283" s="220">
        <v>43830</v>
      </c>
      <c r="C283" s="56" t="s">
        <v>5</v>
      </c>
      <c r="D283" s="56" t="s">
        <v>9</v>
      </c>
      <c r="E283" s="56">
        <v>2019</v>
      </c>
      <c r="F283" s="56">
        <v>1514.2</v>
      </c>
      <c r="G283" t="s">
        <v>232</v>
      </c>
      <c r="H283">
        <v>1971.42</v>
      </c>
    </row>
    <row r="284" spans="1:8">
      <c r="A284" s="220">
        <v>43466</v>
      </c>
      <c r="B284" s="220">
        <v>43830</v>
      </c>
      <c r="C284" s="56" t="s">
        <v>5</v>
      </c>
      <c r="D284" s="56" t="s">
        <v>9</v>
      </c>
      <c r="E284" s="56">
        <v>2019</v>
      </c>
      <c r="F284" s="56">
        <v>5916.15</v>
      </c>
      <c r="G284" t="s">
        <v>232</v>
      </c>
      <c r="H284">
        <v>7702.55</v>
      </c>
    </row>
    <row r="285" spans="1:8">
      <c r="A285" s="220">
        <v>43466</v>
      </c>
      <c r="B285" s="220">
        <v>43830</v>
      </c>
      <c r="C285" s="56" t="s">
        <v>5</v>
      </c>
      <c r="D285" s="56" t="s">
        <v>9</v>
      </c>
      <c r="E285" s="56">
        <v>2019</v>
      </c>
      <c r="F285" s="56">
        <v>1252.58</v>
      </c>
      <c r="G285" t="s">
        <v>232</v>
      </c>
      <c r="H285">
        <v>1630.8</v>
      </c>
    </row>
    <row r="286" spans="1:8">
      <c r="A286" s="220">
        <v>43466</v>
      </c>
      <c r="B286" s="220">
        <v>43830</v>
      </c>
      <c r="C286" s="56" t="s">
        <v>5</v>
      </c>
      <c r="D286" s="56" t="s">
        <v>9</v>
      </c>
      <c r="E286" s="56">
        <v>2019</v>
      </c>
      <c r="F286" s="56">
        <v>497.07</v>
      </c>
      <c r="G286" t="s">
        <v>232</v>
      </c>
      <c r="H286">
        <v>647.16</v>
      </c>
    </row>
    <row r="287" spans="1:8">
      <c r="A287" s="220">
        <v>43466</v>
      </c>
      <c r="B287" s="220">
        <v>43830</v>
      </c>
      <c r="C287" s="56" t="s">
        <v>5</v>
      </c>
      <c r="D287" s="56" t="s">
        <v>9</v>
      </c>
      <c r="E287" s="56">
        <v>2019</v>
      </c>
      <c r="F287" s="56">
        <v>1172.8499999999999</v>
      </c>
      <c r="G287" t="s">
        <v>232</v>
      </c>
      <c r="H287">
        <v>1527</v>
      </c>
    </row>
    <row r="288" spans="1:8">
      <c r="A288" s="220">
        <v>43831</v>
      </c>
      <c r="B288" s="220">
        <v>44196</v>
      </c>
      <c r="C288" s="56" t="s">
        <v>5</v>
      </c>
      <c r="D288" s="56" t="s">
        <v>9</v>
      </c>
      <c r="E288" s="56">
        <v>2020</v>
      </c>
      <c r="F288" s="56">
        <v>408.1</v>
      </c>
      <c r="G288" t="s">
        <v>232</v>
      </c>
      <c r="H288">
        <v>567.88</v>
      </c>
    </row>
    <row r="289" spans="1:8">
      <c r="A289" s="220">
        <v>43831</v>
      </c>
      <c r="B289" s="220">
        <v>44196</v>
      </c>
      <c r="C289" s="56" t="s">
        <v>5</v>
      </c>
      <c r="D289" s="56" t="s">
        <v>9</v>
      </c>
      <c r="E289" s="56">
        <v>2020</v>
      </c>
      <c r="F289" s="56">
        <v>413.24</v>
      </c>
      <c r="G289" t="s">
        <v>232</v>
      </c>
      <c r="H289">
        <v>575.04</v>
      </c>
    </row>
    <row r="290" spans="1:8">
      <c r="A290" s="220">
        <v>43466</v>
      </c>
      <c r="B290" s="220">
        <v>43830</v>
      </c>
      <c r="C290" s="56" t="s">
        <v>5</v>
      </c>
      <c r="D290" s="56" t="s">
        <v>9</v>
      </c>
      <c r="E290" s="56">
        <v>2019</v>
      </c>
      <c r="F290" s="56">
        <v>908.23</v>
      </c>
      <c r="G290" t="s">
        <v>232</v>
      </c>
      <c r="H290">
        <v>1182.48</v>
      </c>
    </row>
    <row r="291" spans="1:8">
      <c r="A291" s="220">
        <v>43466</v>
      </c>
      <c r="B291" s="220">
        <v>43830</v>
      </c>
      <c r="C291" s="56" t="s">
        <v>5</v>
      </c>
      <c r="D291" s="56" t="s">
        <v>9</v>
      </c>
      <c r="E291" s="56">
        <v>2019</v>
      </c>
      <c r="F291" s="56">
        <v>1045.01</v>
      </c>
      <c r="G291" t="s">
        <v>232</v>
      </c>
      <c r="H291">
        <v>1360.55</v>
      </c>
    </row>
    <row r="292" spans="1:8">
      <c r="A292" s="220">
        <v>43466</v>
      </c>
      <c r="B292" s="220">
        <v>43830</v>
      </c>
      <c r="C292" s="56" t="s">
        <v>5</v>
      </c>
      <c r="D292" s="56" t="s">
        <v>9</v>
      </c>
      <c r="E292" s="56">
        <v>2019</v>
      </c>
      <c r="F292" s="56">
        <v>608.22</v>
      </c>
      <c r="G292" t="s">
        <v>232</v>
      </c>
      <c r="H292">
        <v>791.88</v>
      </c>
    </row>
    <row r="293" spans="1:8">
      <c r="A293" s="220">
        <v>43466</v>
      </c>
      <c r="B293" s="220">
        <v>43830</v>
      </c>
      <c r="C293" s="56" t="s">
        <v>5</v>
      </c>
      <c r="D293" s="56" t="s">
        <v>9</v>
      </c>
      <c r="E293" s="56">
        <v>2019</v>
      </c>
      <c r="F293" s="56">
        <v>328.03</v>
      </c>
      <c r="G293" t="s">
        <v>232</v>
      </c>
      <c r="H293">
        <v>427.08</v>
      </c>
    </row>
    <row r="294" spans="1:8">
      <c r="A294" s="220">
        <v>43831</v>
      </c>
      <c r="B294" s="220">
        <v>44196</v>
      </c>
      <c r="C294" s="56" t="s">
        <v>5</v>
      </c>
      <c r="D294" s="56" t="s">
        <v>9</v>
      </c>
      <c r="E294" s="56">
        <v>2020</v>
      </c>
      <c r="F294" s="56">
        <v>472.14</v>
      </c>
      <c r="G294" t="s">
        <v>232</v>
      </c>
      <c r="H294">
        <v>657</v>
      </c>
    </row>
    <row r="295" spans="1:8">
      <c r="A295" s="220">
        <v>43831</v>
      </c>
      <c r="B295" s="220">
        <v>44196</v>
      </c>
      <c r="C295" s="56" t="s">
        <v>5</v>
      </c>
      <c r="D295" s="56" t="s">
        <v>9</v>
      </c>
      <c r="E295" s="56">
        <v>2020</v>
      </c>
      <c r="F295" s="56">
        <v>799.07</v>
      </c>
      <c r="G295" t="s">
        <v>232</v>
      </c>
      <c r="H295">
        <v>1111.92</v>
      </c>
    </row>
    <row r="296" spans="1:8">
      <c r="A296" s="220">
        <v>43831</v>
      </c>
      <c r="B296" s="220">
        <v>44196</v>
      </c>
      <c r="C296" s="56" t="s">
        <v>5</v>
      </c>
      <c r="D296" s="56" t="s">
        <v>9</v>
      </c>
      <c r="E296" s="56">
        <v>2020</v>
      </c>
      <c r="F296" s="56">
        <v>2938.59</v>
      </c>
      <c r="G296" t="s">
        <v>232</v>
      </c>
      <c r="H296">
        <v>4089.12</v>
      </c>
    </row>
    <row r="297" spans="1:8">
      <c r="A297" s="220">
        <v>43831</v>
      </c>
      <c r="B297" s="220">
        <v>44196</v>
      </c>
      <c r="C297" s="56" t="s">
        <v>5</v>
      </c>
      <c r="D297" s="56" t="s">
        <v>9</v>
      </c>
      <c r="E297" s="56">
        <v>2020</v>
      </c>
      <c r="F297" s="56">
        <v>697.39</v>
      </c>
      <c r="G297" t="s">
        <v>232</v>
      </c>
      <c r="H297">
        <v>970.44</v>
      </c>
    </row>
    <row r="298" spans="1:8">
      <c r="A298" s="220">
        <v>43831</v>
      </c>
      <c r="B298" s="220">
        <v>44196</v>
      </c>
      <c r="C298" s="56" t="s">
        <v>5</v>
      </c>
      <c r="D298" s="56" t="s">
        <v>9</v>
      </c>
      <c r="E298" s="56">
        <v>2020</v>
      </c>
      <c r="F298" s="56">
        <v>935.67</v>
      </c>
      <c r="G298" t="s">
        <v>232</v>
      </c>
      <c r="H298">
        <v>1302</v>
      </c>
    </row>
    <row r="299" spans="1:8">
      <c r="A299" s="220">
        <v>43466</v>
      </c>
      <c r="B299" s="220">
        <v>43830</v>
      </c>
      <c r="C299" s="56" t="s">
        <v>5</v>
      </c>
      <c r="D299" s="56" t="s">
        <v>9</v>
      </c>
      <c r="E299" s="56">
        <v>2019</v>
      </c>
      <c r="F299" s="56">
        <v>159.76</v>
      </c>
      <c r="G299" t="s">
        <v>232</v>
      </c>
      <c r="H299">
        <v>208</v>
      </c>
    </row>
    <row r="300" spans="1:8">
      <c r="A300" s="220">
        <v>43466</v>
      </c>
      <c r="B300" s="220">
        <v>43830</v>
      </c>
      <c r="C300" s="56" t="s">
        <v>5</v>
      </c>
      <c r="D300" s="56" t="s">
        <v>9</v>
      </c>
      <c r="E300" s="56">
        <v>2019</v>
      </c>
      <c r="F300" s="56">
        <v>2139.6799999999998</v>
      </c>
      <c r="G300" t="s">
        <v>232</v>
      </c>
      <c r="H300">
        <v>2785.77</v>
      </c>
    </row>
    <row r="301" spans="1:8">
      <c r="A301" s="220">
        <v>43831</v>
      </c>
      <c r="B301" s="220">
        <v>44196</v>
      </c>
      <c r="C301" s="56" t="s">
        <v>5</v>
      </c>
      <c r="D301" s="56" t="s">
        <v>9</v>
      </c>
      <c r="E301" s="56">
        <v>2020</v>
      </c>
      <c r="F301" s="56">
        <v>459.73</v>
      </c>
      <c r="G301" t="s">
        <v>232</v>
      </c>
      <c r="H301">
        <v>639.72</v>
      </c>
    </row>
    <row r="302" spans="1:8">
      <c r="A302" s="220">
        <v>43466</v>
      </c>
      <c r="B302" s="220">
        <v>43830</v>
      </c>
      <c r="C302" s="56" t="s">
        <v>5</v>
      </c>
      <c r="D302" s="56" t="s">
        <v>9</v>
      </c>
      <c r="E302" s="56">
        <v>2019</v>
      </c>
      <c r="F302" s="56">
        <v>334.02</v>
      </c>
      <c r="G302" t="s">
        <v>232</v>
      </c>
      <c r="H302">
        <v>434.88</v>
      </c>
    </row>
    <row r="303" spans="1:8">
      <c r="A303" s="220">
        <v>43466</v>
      </c>
      <c r="B303" s="220">
        <v>43830</v>
      </c>
      <c r="C303" s="56" t="s">
        <v>5</v>
      </c>
      <c r="D303" s="56" t="s">
        <v>9</v>
      </c>
      <c r="E303" s="56">
        <v>2019</v>
      </c>
      <c r="F303" s="56">
        <v>505.46</v>
      </c>
      <c r="G303" t="s">
        <v>232</v>
      </c>
      <c r="H303">
        <v>658.08</v>
      </c>
    </row>
    <row r="304" spans="1:8">
      <c r="A304" s="220">
        <v>43831</v>
      </c>
      <c r="B304" s="220">
        <v>44196</v>
      </c>
      <c r="C304" s="56" t="s">
        <v>5</v>
      </c>
      <c r="D304" s="56" t="s">
        <v>9</v>
      </c>
      <c r="E304" s="56">
        <v>2020</v>
      </c>
      <c r="F304" s="56">
        <v>526.49</v>
      </c>
      <c r="G304" t="s">
        <v>232</v>
      </c>
      <c r="H304">
        <v>732.62</v>
      </c>
    </row>
    <row r="305" spans="1:8">
      <c r="A305" s="220">
        <v>43831</v>
      </c>
      <c r="B305" s="220">
        <v>44196</v>
      </c>
      <c r="C305" s="56" t="s">
        <v>5</v>
      </c>
      <c r="D305" s="56" t="s">
        <v>9</v>
      </c>
      <c r="E305" s="56">
        <v>2020</v>
      </c>
      <c r="F305" s="56">
        <v>445.11</v>
      </c>
      <c r="G305" t="s">
        <v>232</v>
      </c>
      <c r="H305">
        <v>619.38</v>
      </c>
    </row>
    <row r="306" spans="1:8">
      <c r="A306" s="220">
        <v>43466</v>
      </c>
      <c r="B306" s="220">
        <v>43830</v>
      </c>
      <c r="C306" s="56" t="s">
        <v>5</v>
      </c>
      <c r="D306" s="56" t="s">
        <v>9</v>
      </c>
      <c r="E306" s="56">
        <v>2019</v>
      </c>
      <c r="F306" s="56">
        <v>1172.8499999999999</v>
      </c>
      <c r="G306" t="s">
        <v>232</v>
      </c>
      <c r="H306">
        <v>1527</v>
      </c>
    </row>
    <row r="307" spans="1:8">
      <c r="A307" s="220">
        <v>43466</v>
      </c>
      <c r="B307" s="220">
        <v>43830</v>
      </c>
      <c r="C307" s="56" t="s">
        <v>5</v>
      </c>
      <c r="D307" s="56" t="s">
        <v>9</v>
      </c>
      <c r="E307" s="56">
        <v>2019</v>
      </c>
      <c r="F307" s="56">
        <v>773.48</v>
      </c>
      <c r="G307" t="s">
        <v>232</v>
      </c>
      <c r="H307">
        <v>1007.04</v>
      </c>
    </row>
    <row r="308" spans="1:8">
      <c r="A308" s="220">
        <v>43466</v>
      </c>
      <c r="B308" s="220">
        <v>43830</v>
      </c>
      <c r="C308" s="56" t="s">
        <v>5</v>
      </c>
      <c r="D308" s="56" t="s">
        <v>9</v>
      </c>
      <c r="E308" s="56">
        <v>2019</v>
      </c>
      <c r="F308" s="56">
        <v>538.11</v>
      </c>
      <c r="G308" t="s">
        <v>232</v>
      </c>
      <c r="H308">
        <v>700.59</v>
      </c>
    </row>
    <row r="309" spans="1:8">
      <c r="A309" s="220">
        <v>43831</v>
      </c>
      <c r="B309" s="220">
        <v>44196</v>
      </c>
      <c r="C309" s="56" t="s">
        <v>5</v>
      </c>
      <c r="D309" s="56" t="s">
        <v>9</v>
      </c>
      <c r="E309" s="56">
        <v>2020</v>
      </c>
      <c r="F309" s="56">
        <v>750.01</v>
      </c>
      <c r="G309" t="s">
        <v>232</v>
      </c>
      <c r="H309">
        <v>1043.6500000000001</v>
      </c>
    </row>
    <row r="310" spans="1:8">
      <c r="A310" s="220">
        <v>43466</v>
      </c>
      <c r="B310" s="220">
        <v>43830</v>
      </c>
      <c r="C310" s="56" t="s">
        <v>5</v>
      </c>
      <c r="D310" s="56" t="s">
        <v>9</v>
      </c>
      <c r="E310" s="56">
        <v>2019</v>
      </c>
      <c r="F310" s="56">
        <v>299.29000000000002</v>
      </c>
      <c r="G310" t="s">
        <v>232</v>
      </c>
      <c r="H310">
        <v>389.66</v>
      </c>
    </row>
    <row r="311" spans="1:8">
      <c r="A311" s="220">
        <v>43831</v>
      </c>
      <c r="B311" s="220">
        <v>44196</v>
      </c>
      <c r="C311" s="56" t="s">
        <v>5</v>
      </c>
      <c r="D311" s="56" t="s">
        <v>9</v>
      </c>
      <c r="E311" s="56">
        <v>2020</v>
      </c>
      <c r="F311" s="56">
        <v>508.79</v>
      </c>
      <c r="G311" t="s">
        <v>232</v>
      </c>
      <c r="H311">
        <v>708</v>
      </c>
    </row>
    <row r="312" spans="1:8">
      <c r="A312" s="220">
        <v>43831</v>
      </c>
      <c r="B312" s="220">
        <v>44196</v>
      </c>
      <c r="C312" s="56" t="s">
        <v>5</v>
      </c>
      <c r="D312" s="56" t="s">
        <v>9</v>
      </c>
      <c r="E312" s="56">
        <v>2020</v>
      </c>
      <c r="F312" s="56">
        <v>307.43</v>
      </c>
      <c r="G312" t="s">
        <v>232</v>
      </c>
      <c r="H312">
        <v>427.8</v>
      </c>
    </row>
    <row r="313" spans="1:8">
      <c r="A313" s="220">
        <v>43466</v>
      </c>
      <c r="B313" s="220">
        <v>43830</v>
      </c>
      <c r="C313" s="56" t="s">
        <v>5</v>
      </c>
      <c r="D313" s="56" t="s">
        <v>9</v>
      </c>
      <c r="E313" s="56">
        <v>2019</v>
      </c>
      <c r="F313" s="56">
        <v>747.97</v>
      </c>
      <c r="G313" t="s">
        <v>232</v>
      </c>
      <c r="H313">
        <v>973.82</v>
      </c>
    </row>
    <row r="314" spans="1:8">
      <c r="A314" s="220">
        <v>43831</v>
      </c>
      <c r="B314" s="220">
        <v>44196</v>
      </c>
      <c r="C314" s="56" t="s">
        <v>5</v>
      </c>
      <c r="D314" s="56" t="s">
        <v>9</v>
      </c>
      <c r="E314" s="56">
        <v>2020</v>
      </c>
      <c r="F314" s="56">
        <v>862.62</v>
      </c>
      <c r="G314" t="s">
        <v>232</v>
      </c>
      <c r="H314">
        <v>1200.3599999999999</v>
      </c>
    </row>
    <row r="315" spans="1:8">
      <c r="A315" s="220">
        <v>43466</v>
      </c>
      <c r="B315" s="220">
        <v>43830</v>
      </c>
      <c r="C315" s="56" t="s">
        <v>5</v>
      </c>
      <c r="D315" s="56" t="s">
        <v>9</v>
      </c>
      <c r="E315" s="56">
        <v>2019</v>
      </c>
      <c r="F315" s="56">
        <v>1696.02</v>
      </c>
      <c r="G315" t="s">
        <v>232</v>
      </c>
      <c r="H315">
        <v>2208.14</v>
      </c>
    </row>
    <row r="316" spans="1:8">
      <c r="A316" s="220">
        <v>43466</v>
      </c>
      <c r="B316" s="220">
        <v>43830</v>
      </c>
      <c r="C316" s="56" t="s">
        <v>5</v>
      </c>
      <c r="D316" s="56" t="s">
        <v>9</v>
      </c>
      <c r="E316" s="56">
        <v>2019</v>
      </c>
      <c r="F316" s="56">
        <v>3764.65</v>
      </c>
      <c r="G316" t="s">
        <v>232</v>
      </c>
      <c r="H316">
        <v>4901.3999999999996</v>
      </c>
    </row>
    <row r="317" spans="1:8">
      <c r="A317" s="220">
        <v>43831</v>
      </c>
      <c r="B317" s="220">
        <v>44196</v>
      </c>
      <c r="C317" s="56" t="s">
        <v>5</v>
      </c>
      <c r="D317" s="56" t="s">
        <v>9</v>
      </c>
      <c r="E317" s="56">
        <v>2020</v>
      </c>
      <c r="F317" s="56">
        <v>933.79</v>
      </c>
      <c r="G317" t="s">
        <v>232</v>
      </c>
      <c r="H317">
        <v>1299.3900000000001</v>
      </c>
    </row>
    <row r="318" spans="1:8">
      <c r="A318" s="220">
        <v>43831</v>
      </c>
      <c r="B318" s="220">
        <v>44196</v>
      </c>
      <c r="C318" s="56" t="s">
        <v>5</v>
      </c>
      <c r="D318" s="56" t="s">
        <v>9</v>
      </c>
      <c r="E318" s="56">
        <v>2020</v>
      </c>
      <c r="F318" s="56">
        <v>734.65</v>
      </c>
      <c r="G318" t="s">
        <v>232</v>
      </c>
      <c r="H318">
        <v>1022.28</v>
      </c>
    </row>
    <row r="319" spans="1:8">
      <c r="A319" s="220">
        <v>43831</v>
      </c>
      <c r="B319" s="220">
        <v>44196</v>
      </c>
      <c r="C319" s="56" t="s">
        <v>5</v>
      </c>
      <c r="D319" s="56" t="s">
        <v>9</v>
      </c>
      <c r="E319" s="56">
        <v>2020</v>
      </c>
      <c r="F319" s="56">
        <v>977.92</v>
      </c>
      <c r="G319" t="s">
        <v>232</v>
      </c>
      <c r="H319">
        <v>1360.8</v>
      </c>
    </row>
    <row r="320" spans="1:8">
      <c r="A320" s="220">
        <v>43466</v>
      </c>
      <c r="B320" s="220">
        <v>43830</v>
      </c>
      <c r="C320" s="56" t="s">
        <v>5</v>
      </c>
      <c r="D320" s="56" t="s">
        <v>9</v>
      </c>
      <c r="E320" s="56">
        <v>2019</v>
      </c>
      <c r="F320" s="56">
        <v>1583.1</v>
      </c>
      <c r="G320" t="s">
        <v>232</v>
      </c>
      <c r="H320">
        <v>2061.12</v>
      </c>
    </row>
    <row r="321" spans="1:8">
      <c r="A321" s="220">
        <v>43466</v>
      </c>
      <c r="B321" s="220">
        <v>43830</v>
      </c>
      <c r="C321" s="56" t="s">
        <v>5</v>
      </c>
      <c r="D321" s="56" t="s">
        <v>9</v>
      </c>
      <c r="E321" s="56">
        <v>2019</v>
      </c>
      <c r="F321" s="56">
        <v>1013.49</v>
      </c>
      <c r="G321" t="s">
        <v>232</v>
      </c>
      <c r="H321">
        <v>1319.52</v>
      </c>
    </row>
    <row r="322" spans="1:8">
      <c r="A322" s="220">
        <v>43466</v>
      </c>
      <c r="B322" s="220">
        <v>43830</v>
      </c>
      <c r="C322" s="56" t="s">
        <v>5</v>
      </c>
      <c r="D322" s="56" t="s">
        <v>9</v>
      </c>
      <c r="E322" s="56">
        <v>2019</v>
      </c>
      <c r="F322" s="56">
        <v>724.63</v>
      </c>
      <c r="G322" t="s">
        <v>232</v>
      </c>
      <c r="H322">
        <v>943.44</v>
      </c>
    </row>
    <row r="323" spans="1:8">
      <c r="A323" s="220">
        <v>43831</v>
      </c>
      <c r="B323" s="220">
        <v>44196</v>
      </c>
      <c r="C323" s="56" t="s">
        <v>5</v>
      </c>
      <c r="D323" s="56" t="s">
        <v>9</v>
      </c>
      <c r="E323" s="56">
        <v>2020</v>
      </c>
      <c r="F323" s="56">
        <v>516.47</v>
      </c>
      <c r="G323" t="s">
        <v>232</v>
      </c>
      <c r="H323">
        <v>718.68</v>
      </c>
    </row>
    <row r="324" spans="1:8">
      <c r="A324" s="220">
        <v>43466</v>
      </c>
      <c r="B324" s="220">
        <v>43830</v>
      </c>
      <c r="C324" s="56" t="s">
        <v>5</v>
      </c>
      <c r="D324" s="56" t="s">
        <v>9</v>
      </c>
      <c r="E324" s="56">
        <v>2019</v>
      </c>
      <c r="F324" s="56">
        <v>773.48</v>
      </c>
      <c r="G324" t="s">
        <v>232</v>
      </c>
      <c r="H324">
        <v>1007.04</v>
      </c>
    </row>
    <row r="325" spans="1:8">
      <c r="A325" s="220">
        <v>43831</v>
      </c>
      <c r="B325" s="220">
        <v>44196</v>
      </c>
      <c r="C325" s="56" t="s">
        <v>5</v>
      </c>
      <c r="D325" s="56" t="s">
        <v>9</v>
      </c>
      <c r="E325" s="56">
        <v>2020</v>
      </c>
      <c r="F325" s="56">
        <v>1975.95</v>
      </c>
      <c r="G325" t="s">
        <v>232</v>
      </c>
      <c r="H325">
        <v>2749.58</v>
      </c>
    </row>
    <row r="326" spans="1:8">
      <c r="A326" s="220">
        <v>43466</v>
      </c>
      <c r="B326" s="220">
        <v>43830</v>
      </c>
      <c r="C326" s="56" t="s">
        <v>5</v>
      </c>
      <c r="D326" s="56" t="s">
        <v>9</v>
      </c>
      <c r="E326" s="56">
        <v>2019</v>
      </c>
      <c r="F326" s="56">
        <v>761.96</v>
      </c>
      <c r="G326" t="s">
        <v>232</v>
      </c>
      <c r="H326">
        <v>992.04</v>
      </c>
    </row>
    <row r="327" spans="1:8">
      <c r="A327" s="220">
        <v>43831</v>
      </c>
      <c r="B327" s="220">
        <v>44196</v>
      </c>
      <c r="C327" s="56" t="s">
        <v>5</v>
      </c>
      <c r="D327" s="56" t="s">
        <v>9</v>
      </c>
      <c r="E327" s="56">
        <v>2020</v>
      </c>
      <c r="F327" s="56">
        <v>1454.79</v>
      </c>
      <c r="G327" t="s">
        <v>232</v>
      </c>
      <c r="H327">
        <v>2024.38</v>
      </c>
    </row>
    <row r="328" spans="1:8">
      <c r="A328" s="220">
        <v>43466</v>
      </c>
      <c r="B328" s="220">
        <v>43830</v>
      </c>
      <c r="C328" s="56" t="s">
        <v>5</v>
      </c>
      <c r="D328" s="56" t="s">
        <v>9</v>
      </c>
      <c r="E328" s="56">
        <v>2019</v>
      </c>
      <c r="F328" s="56">
        <v>1311.4</v>
      </c>
      <c r="G328" t="s">
        <v>232</v>
      </c>
      <c r="H328">
        <v>1707.38</v>
      </c>
    </row>
    <row r="329" spans="1:8">
      <c r="A329" s="220">
        <v>43831</v>
      </c>
      <c r="B329" s="220">
        <v>44196</v>
      </c>
      <c r="C329" s="56" t="s">
        <v>5</v>
      </c>
      <c r="D329" s="56" t="s">
        <v>9</v>
      </c>
      <c r="E329" s="56">
        <v>2020</v>
      </c>
      <c r="F329" s="56">
        <v>4623.88</v>
      </c>
      <c r="G329" t="s">
        <v>232</v>
      </c>
      <c r="H329">
        <v>6434.24</v>
      </c>
    </row>
    <row r="330" spans="1:8">
      <c r="A330" s="220">
        <v>43466</v>
      </c>
      <c r="B330" s="220">
        <v>43830</v>
      </c>
      <c r="C330" s="56" t="s">
        <v>5</v>
      </c>
      <c r="D330" s="56" t="s">
        <v>9</v>
      </c>
      <c r="E330" s="56">
        <v>2019</v>
      </c>
      <c r="F330" s="56">
        <v>383.42</v>
      </c>
      <c r="G330" t="s">
        <v>232</v>
      </c>
      <c r="H330">
        <v>499.2</v>
      </c>
    </row>
    <row r="331" spans="1:8">
      <c r="A331" s="220">
        <v>43466</v>
      </c>
      <c r="B331" s="220">
        <v>43830</v>
      </c>
      <c r="C331" s="56" t="s">
        <v>5</v>
      </c>
      <c r="D331" s="56" t="s">
        <v>9</v>
      </c>
      <c r="E331" s="56">
        <v>2019</v>
      </c>
      <c r="F331" s="56">
        <v>850.08</v>
      </c>
      <c r="G331" t="s">
        <v>232</v>
      </c>
      <c r="H331">
        <v>1106.76</v>
      </c>
    </row>
    <row r="332" spans="1:8">
      <c r="A332" s="220">
        <v>43466</v>
      </c>
      <c r="B332" s="220">
        <v>43830</v>
      </c>
      <c r="C332" s="56" t="s">
        <v>5</v>
      </c>
      <c r="D332" s="56" t="s">
        <v>9</v>
      </c>
      <c r="E332" s="56">
        <v>2019</v>
      </c>
      <c r="F332" s="56">
        <v>908.23</v>
      </c>
      <c r="G332" t="s">
        <v>232</v>
      </c>
      <c r="H332">
        <v>1182.48</v>
      </c>
    </row>
    <row r="333" spans="1:8">
      <c r="A333" s="220">
        <v>43831</v>
      </c>
      <c r="B333" s="220">
        <v>44196</v>
      </c>
      <c r="C333" s="56" t="s">
        <v>5</v>
      </c>
      <c r="D333" s="56" t="s">
        <v>9</v>
      </c>
      <c r="E333" s="56">
        <v>2020</v>
      </c>
      <c r="F333" s="56">
        <v>3458.16</v>
      </c>
      <c r="G333" t="s">
        <v>232</v>
      </c>
      <c r="H333">
        <v>4812.1099999999997</v>
      </c>
    </row>
    <row r="334" spans="1:8">
      <c r="A334" s="220">
        <v>43831</v>
      </c>
      <c r="B334" s="220">
        <v>44196</v>
      </c>
      <c r="C334" s="56" t="s">
        <v>5</v>
      </c>
      <c r="D334" s="56" t="s">
        <v>9</v>
      </c>
      <c r="E334" s="56">
        <v>2020</v>
      </c>
      <c r="F334" s="56">
        <v>364.18</v>
      </c>
      <c r="G334" t="s">
        <v>232</v>
      </c>
      <c r="H334">
        <v>506.76</v>
      </c>
    </row>
    <row r="335" spans="1:8">
      <c r="A335" s="220">
        <v>43831</v>
      </c>
      <c r="B335" s="220">
        <v>44196</v>
      </c>
      <c r="C335" s="56" t="s">
        <v>5</v>
      </c>
      <c r="D335" s="56" t="s">
        <v>9</v>
      </c>
      <c r="E335" s="56">
        <v>2020</v>
      </c>
      <c r="F335" s="56">
        <v>2166.14</v>
      </c>
      <c r="G335" t="s">
        <v>232</v>
      </c>
      <c r="H335">
        <v>3014.24</v>
      </c>
    </row>
    <row r="336" spans="1:8">
      <c r="A336" s="220">
        <v>43466</v>
      </c>
      <c r="B336" s="220">
        <v>43830</v>
      </c>
      <c r="C336" s="56" t="s">
        <v>5</v>
      </c>
      <c r="D336" s="56" t="s">
        <v>9</v>
      </c>
      <c r="E336" s="56">
        <v>2019</v>
      </c>
      <c r="F336" s="56">
        <v>1509.81</v>
      </c>
      <c r="G336" t="s">
        <v>232</v>
      </c>
      <c r="H336">
        <v>1965.7</v>
      </c>
    </row>
    <row r="337" spans="1:8">
      <c r="A337" s="220">
        <v>43831</v>
      </c>
      <c r="B337" s="220">
        <v>44196</v>
      </c>
      <c r="C337" s="56" t="s">
        <v>5</v>
      </c>
      <c r="D337" s="56" t="s">
        <v>9</v>
      </c>
      <c r="E337" s="56">
        <v>2020</v>
      </c>
      <c r="F337" s="56">
        <v>935.67</v>
      </c>
      <c r="G337" t="s">
        <v>232</v>
      </c>
      <c r="H337">
        <v>1302</v>
      </c>
    </row>
    <row r="338" spans="1:8">
      <c r="A338" s="220">
        <v>43831</v>
      </c>
      <c r="B338" s="220">
        <v>44196</v>
      </c>
      <c r="C338" s="56" t="s">
        <v>5</v>
      </c>
      <c r="D338" s="56" t="s">
        <v>9</v>
      </c>
      <c r="E338" s="56">
        <v>2020</v>
      </c>
      <c r="F338" s="56">
        <v>664.62</v>
      </c>
      <c r="G338" t="s">
        <v>232</v>
      </c>
      <c r="H338">
        <v>924.84</v>
      </c>
    </row>
    <row r="339" spans="1:8">
      <c r="A339" s="220">
        <v>43466</v>
      </c>
      <c r="B339" s="220">
        <v>43830</v>
      </c>
      <c r="C339" s="56" t="s">
        <v>5</v>
      </c>
      <c r="D339" s="56" t="s">
        <v>9</v>
      </c>
      <c r="E339" s="56">
        <v>2019</v>
      </c>
      <c r="F339" s="56">
        <v>797.72</v>
      </c>
      <c r="G339" t="s">
        <v>232</v>
      </c>
      <c r="H339">
        <v>1038.5999999999999</v>
      </c>
    </row>
    <row r="340" spans="1:8">
      <c r="A340" s="220">
        <v>43831</v>
      </c>
      <c r="B340" s="220">
        <v>44196</v>
      </c>
      <c r="C340" s="56" t="s">
        <v>5</v>
      </c>
      <c r="D340" s="56" t="s">
        <v>9</v>
      </c>
      <c r="E340" s="56">
        <v>2020</v>
      </c>
      <c r="F340" s="56">
        <v>5207.5200000000004</v>
      </c>
      <c r="G340" t="s">
        <v>232</v>
      </c>
      <c r="H340">
        <v>7246.38</v>
      </c>
    </row>
    <row r="341" spans="1:8">
      <c r="A341" s="220">
        <v>43466</v>
      </c>
      <c r="B341" s="220">
        <v>43830</v>
      </c>
      <c r="C341" s="56" t="s">
        <v>5</v>
      </c>
      <c r="D341" s="56" t="s">
        <v>9</v>
      </c>
      <c r="E341" s="56">
        <v>2019</v>
      </c>
      <c r="F341" s="56">
        <v>908.23</v>
      </c>
      <c r="G341" t="s">
        <v>232</v>
      </c>
      <c r="H341">
        <v>1182.48</v>
      </c>
    </row>
    <row r="342" spans="1:8">
      <c r="A342" s="220">
        <v>43466</v>
      </c>
      <c r="B342" s="220">
        <v>43830</v>
      </c>
      <c r="C342" s="56" t="s">
        <v>5</v>
      </c>
      <c r="D342" s="56" t="s">
        <v>9</v>
      </c>
      <c r="E342" s="56">
        <v>2019</v>
      </c>
      <c r="F342" s="56">
        <v>1375.72</v>
      </c>
      <c r="G342" t="s">
        <v>232</v>
      </c>
      <c r="H342">
        <v>1791.12</v>
      </c>
    </row>
    <row r="343" spans="1:8">
      <c r="A343" s="220">
        <v>43831</v>
      </c>
      <c r="B343" s="220">
        <v>44196</v>
      </c>
      <c r="C343" s="56" t="s">
        <v>5</v>
      </c>
      <c r="D343" s="56" t="s">
        <v>9</v>
      </c>
      <c r="E343" s="56">
        <v>2020</v>
      </c>
      <c r="F343" s="56">
        <v>862.62</v>
      </c>
      <c r="G343" t="s">
        <v>232</v>
      </c>
      <c r="H343">
        <v>1200.3599999999999</v>
      </c>
    </row>
    <row r="344" spans="1:8">
      <c r="A344" s="220">
        <v>43831</v>
      </c>
      <c r="B344" s="220">
        <v>44196</v>
      </c>
      <c r="C344" s="56" t="s">
        <v>5</v>
      </c>
      <c r="D344" s="56" t="s">
        <v>9</v>
      </c>
      <c r="E344" s="56">
        <v>2020</v>
      </c>
      <c r="F344" s="56">
        <v>949.2</v>
      </c>
      <c r="G344" t="s">
        <v>232</v>
      </c>
      <c r="H344">
        <v>1320.84</v>
      </c>
    </row>
    <row r="345" spans="1:8">
      <c r="A345" s="220">
        <v>43466</v>
      </c>
      <c r="B345" s="220">
        <v>43830</v>
      </c>
      <c r="C345" s="56" t="s">
        <v>5</v>
      </c>
      <c r="D345" s="56" t="s">
        <v>9</v>
      </c>
      <c r="E345" s="56">
        <v>2019</v>
      </c>
      <c r="F345" s="56">
        <v>2523.96</v>
      </c>
      <c r="G345" t="s">
        <v>232</v>
      </c>
      <c r="H345">
        <v>3286.08</v>
      </c>
    </row>
    <row r="346" spans="1:8">
      <c r="A346" s="220">
        <v>43466</v>
      </c>
      <c r="B346" s="220">
        <v>43830</v>
      </c>
      <c r="C346" s="56" t="s">
        <v>5</v>
      </c>
      <c r="D346" s="56" t="s">
        <v>9</v>
      </c>
      <c r="E346" s="56">
        <v>2019</v>
      </c>
      <c r="F346" s="56">
        <v>12395.14</v>
      </c>
      <c r="G346" t="s">
        <v>232</v>
      </c>
      <c r="H346">
        <v>16137.9</v>
      </c>
    </row>
    <row r="347" spans="1:8">
      <c r="A347" s="220">
        <v>43466</v>
      </c>
      <c r="B347" s="220">
        <v>43830</v>
      </c>
      <c r="C347" s="56" t="s">
        <v>5</v>
      </c>
      <c r="D347" s="56" t="s">
        <v>9</v>
      </c>
      <c r="E347" s="56">
        <v>2019</v>
      </c>
      <c r="F347" s="56">
        <v>577.99</v>
      </c>
      <c r="G347" t="s">
        <v>232</v>
      </c>
      <c r="H347">
        <v>752.52</v>
      </c>
    </row>
    <row r="348" spans="1:8">
      <c r="A348" s="220">
        <v>43831</v>
      </c>
      <c r="B348" s="220">
        <v>44196</v>
      </c>
      <c r="C348" s="56" t="s">
        <v>5</v>
      </c>
      <c r="D348" s="56" t="s">
        <v>9</v>
      </c>
      <c r="E348" s="56">
        <v>2020</v>
      </c>
      <c r="F348" s="56">
        <v>1655.39</v>
      </c>
      <c r="G348" t="s">
        <v>232</v>
      </c>
      <c r="H348">
        <v>2303.52</v>
      </c>
    </row>
    <row r="349" spans="1:8">
      <c r="A349" s="220">
        <v>43466</v>
      </c>
      <c r="B349" s="220">
        <v>43830</v>
      </c>
      <c r="C349" s="56" t="s">
        <v>5</v>
      </c>
      <c r="D349" s="56" t="s">
        <v>9</v>
      </c>
      <c r="E349" s="56">
        <v>2019</v>
      </c>
      <c r="F349" s="56">
        <v>116.03</v>
      </c>
      <c r="G349" t="s">
        <v>232</v>
      </c>
      <c r="H349">
        <v>151.06</v>
      </c>
    </row>
    <row r="350" spans="1:8">
      <c r="A350" s="220">
        <v>43466</v>
      </c>
      <c r="B350" s="220">
        <v>43830</v>
      </c>
      <c r="C350" s="56" t="s">
        <v>5</v>
      </c>
      <c r="D350" s="56" t="s">
        <v>9</v>
      </c>
      <c r="E350" s="56">
        <v>2019</v>
      </c>
      <c r="F350" s="56">
        <v>2091.7399999999998</v>
      </c>
      <c r="G350" t="s">
        <v>232</v>
      </c>
      <c r="H350">
        <v>2723.35</v>
      </c>
    </row>
    <row r="351" spans="1:8">
      <c r="A351" s="220">
        <v>43466</v>
      </c>
      <c r="B351" s="220">
        <v>43830</v>
      </c>
      <c r="C351" s="56" t="s">
        <v>5</v>
      </c>
      <c r="D351" s="56" t="s">
        <v>9</v>
      </c>
      <c r="E351" s="56">
        <v>2019</v>
      </c>
      <c r="F351" s="56">
        <v>3337.24</v>
      </c>
      <c r="G351" t="s">
        <v>232</v>
      </c>
      <c r="H351">
        <v>4344.93</v>
      </c>
    </row>
    <row r="352" spans="1:8">
      <c r="A352" s="220">
        <v>43466</v>
      </c>
      <c r="B352" s="220">
        <v>43830</v>
      </c>
      <c r="C352" s="56" t="s">
        <v>5</v>
      </c>
      <c r="D352" s="56" t="s">
        <v>9</v>
      </c>
      <c r="E352" s="56">
        <v>2019</v>
      </c>
      <c r="F352" s="56">
        <v>734.22</v>
      </c>
      <c r="G352" t="s">
        <v>232</v>
      </c>
      <c r="H352">
        <v>955.92</v>
      </c>
    </row>
    <row r="353" spans="1:8">
      <c r="A353" s="220">
        <v>43466</v>
      </c>
      <c r="B353" s="220">
        <v>43830</v>
      </c>
      <c r="C353" s="56" t="s">
        <v>5</v>
      </c>
      <c r="D353" s="56" t="s">
        <v>9</v>
      </c>
      <c r="E353" s="56">
        <v>2019</v>
      </c>
      <c r="F353" s="56">
        <v>2644.95</v>
      </c>
      <c r="G353" t="s">
        <v>232</v>
      </c>
      <c r="H353">
        <v>3443.6</v>
      </c>
    </row>
    <row r="354" spans="1:8">
      <c r="A354" s="220">
        <v>43466</v>
      </c>
      <c r="B354" s="220">
        <v>43830</v>
      </c>
      <c r="C354" s="56" t="s">
        <v>5</v>
      </c>
      <c r="D354" s="56" t="s">
        <v>9</v>
      </c>
      <c r="E354" s="56">
        <v>2019</v>
      </c>
      <c r="F354" s="56">
        <v>554.98</v>
      </c>
      <c r="G354" t="s">
        <v>232</v>
      </c>
      <c r="H354">
        <v>722.56</v>
      </c>
    </row>
    <row r="355" spans="1:8">
      <c r="A355" s="220">
        <v>43466</v>
      </c>
      <c r="B355" s="220">
        <v>43830</v>
      </c>
      <c r="C355" s="56" t="s">
        <v>5</v>
      </c>
      <c r="D355" s="56" t="s">
        <v>9</v>
      </c>
      <c r="E355" s="56">
        <v>2019</v>
      </c>
      <c r="F355" s="56">
        <v>1955.35</v>
      </c>
      <c r="G355" t="s">
        <v>232</v>
      </c>
      <c r="H355">
        <v>2545.77</v>
      </c>
    </row>
    <row r="356" spans="1:8">
      <c r="A356" s="220">
        <v>43466</v>
      </c>
      <c r="B356" s="220">
        <v>43830</v>
      </c>
      <c r="C356" s="56" t="s">
        <v>5</v>
      </c>
      <c r="D356" s="56" t="s">
        <v>9</v>
      </c>
      <c r="E356" s="56">
        <v>2019</v>
      </c>
      <c r="F356" s="56">
        <v>1468.44</v>
      </c>
      <c r="G356" t="s">
        <v>232</v>
      </c>
      <c r="H356">
        <v>1911.84</v>
      </c>
    </row>
    <row r="357" spans="1:8">
      <c r="A357" s="220">
        <v>43466</v>
      </c>
      <c r="B357" s="220">
        <v>43830</v>
      </c>
      <c r="C357" s="56" t="s">
        <v>5</v>
      </c>
      <c r="D357" s="56" t="s">
        <v>9</v>
      </c>
      <c r="E357" s="56">
        <v>2019</v>
      </c>
      <c r="F357" s="56">
        <v>144.5</v>
      </c>
      <c r="G357" t="s">
        <v>232</v>
      </c>
      <c r="H357">
        <v>188.13</v>
      </c>
    </row>
    <row r="358" spans="1:8">
      <c r="A358" s="220">
        <v>43466</v>
      </c>
      <c r="B358" s="220">
        <v>43830</v>
      </c>
      <c r="C358" s="56" t="s">
        <v>5</v>
      </c>
      <c r="D358" s="56" t="s">
        <v>9</v>
      </c>
      <c r="E358" s="56">
        <v>2019</v>
      </c>
      <c r="F358" s="56">
        <v>2345.6999999999998</v>
      </c>
      <c r="G358" t="s">
        <v>232</v>
      </c>
      <c r="H358">
        <v>3054</v>
      </c>
    </row>
    <row r="359" spans="1:8">
      <c r="A359" s="220">
        <v>43466</v>
      </c>
      <c r="B359" s="220">
        <v>43830</v>
      </c>
      <c r="C359" s="56" t="s">
        <v>5</v>
      </c>
      <c r="D359" s="56" t="s">
        <v>9</v>
      </c>
      <c r="E359" s="56">
        <v>2019</v>
      </c>
      <c r="F359" s="56">
        <v>791.55</v>
      </c>
      <c r="G359" t="s">
        <v>232</v>
      </c>
      <c r="H359">
        <v>1030.56</v>
      </c>
    </row>
    <row r="360" spans="1:8">
      <c r="A360" s="220">
        <v>43831</v>
      </c>
      <c r="B360" s="220">
        <v>44196</v>
      </c>
      <c r="C360" s="56" t="s">
        <v>5</v>
      </c>
      <c r="D360" s="56" t="s">
        <v>9</v>
      </c>
      <c r="E360" s="56">
        <v>2020</v>
      </c>
      <c r="F360" s="56">
        <v>2261.44</v>
      </c>
      <c r="G360" t="s">
        <v>232</v>
      </c>
      <c r="H360">
        <v>3146.84</v>
      </c>
    </row>
    <row r="361" spans="1:8">
      <c r="A361" s="220">
        <v>43831</v>
      </c>
      <c r="B361" s="220">
        <v>44196</v>
      </c>
      <c r="C361" s="56" t="s">
        <v>5</v>
      </c>
      <c r="D361" s="56" t="s">
        <v>9</v>
      </c>
      <c r="E361" s="56">
        <v>2020</v>
      </c>
      <c r="F361" s="56">
        <v>1702.7</v>
      </c>
      <c r="G361" t="s">
        <v>232</v>
      </c>
      <c r="H361">
        <v>2369.34</v>
      </c>
    </row>
    <row r="362" spans="1:8">
      <c r="A362" s="220">
        <v>43831</v>
      </c>
      <c r="B362" s="220">
        <v>44196</v>
      </c>
      <c r="C362" s="56" t="s">
        <v>5</v>
      </c>
      <c r="D362" s="56" t="s">
        <v>9</v>
      </c>
      <c r="E362" s="56">
        <v>2020</v>
      </c>
      <c r="F362" s="56">
        <v>827.7</v>
      </c>
      <c r="G362" t="s">
        <v>232</v>
      </c>
      <c r="H362">
        <v>1151.76</v>
      </c>
    </row>
    <row r="363" spans="1:8">
      <c r="A363" s="220">
        <v>43831</v>
      </c>
      <c r="B363" s="220">
        <v>44196</v>
      </c>
      <c r="C363" s="56" t="s">
        <v>5</v>
      </c>
      <c r="D363" s="56" t="s">
        <v>9</v>
      </c>
      <c r="E363" s="56">
        <v>2020</v>
      </c>
      <c r="F363" s="56">
        <v>393.21</v>
      </c>
      <c r="G363" t="s">
        <v>232</v>
      </c>
      <c r="H363">
        <v>547.16</v>
      </c>
    </row>
    <row r="364" spans="1:8">
      <c r="A364" s="220">
        <v>43831</v>
      </c>
      <c r="B364" s="220">
        <v>44196</v>
      </c>
      <c r="C364" s="56" t="s">
        <v>5</v>
      </c>
      <c r="D364" s="56" t="s">
        <v>9</v>
      </c>
      <c r="E364" s="56">
        <v>2020</v>
      </c>
      <c r="F364" s="56">
        <v>991.55</v>
      </c>
      <c r="G364" t="s">
        <v>232</v>
      </c>
      <c r="H364">
        <v>1379.76</v>
      </c>
    </row>
    <row r="365" spans="1:8">
      <c r="A365" s="220">
        <v>43466</v>
      </c>
      <c r="B365" s="220">
        <v>43830</v>
      </c>
      <c r="C365" s="56" t="s">
        <v>5</v>
      </c>
      <c r="D365" s="56" t="s">
        <v>9</v>
      </c>
      <c r="E365" s="56">
        <v>2019</v>
      </c>
      <c r="F365" s="56">
        <v>976.26</v>
      </c>
      <c r="G365" t="s">
        <v>232</v>
      </c>
      <c r="H365">
        <v>1271.04</v>
      </c>
    </row>
    <row r="366" spans="1:8">
      <c r="A366" s="220">
        <v>43831</v>
      </c>
      <c r="B366" s="220">
        <v>44196</v>
      </c>
      <c r="C366" s="56" t="s">
        <v>5</v>
      </c>
      <c r="D366" s="56" t="s">
        <v>9</v>
      </c>
      <c r="E366" s="56">
        <v>2020</v>
      </c>
      <c r="F366" s="56">
        <v>1497.63</v>
      </c>
      <c r="G366" t="s">
        <v>232</v>
      </c>
      <c r="H366">
        <v>2083.9899999999998</v>
      </c>
    </row>
    <row r="367" spans="1:8">
      <c r="A367" s="220">
        <v>43466</v>
      </c>
      <c r="B367" s="220">
        <v>43830</v>
      </c>
      <c r="C367" s="56" t="s">
        <v>5</v>
      </c>
      <c r="D367" s="56" t="s">
        <v>9</v>
      </c>
      <c r="E367" s="56">
        <v>2019</v>
      </c>
      <c r="F367" s="56">
        <v>797.72</v>
      </c>
      <c r="G367" t="s">
        <v>232</v>
      </c>
      <c r="H367">
        <v>1038.5999999999999</v>
      </c>
    </row>
    <row r="368" spans="1:8">
      <c r="A368" s="220">
        <v>43466</v>
      </c>
      <c r="B368" s="220">
        <v>43830</v>
      </c>
      <c r="C368" s="56" t="s">
        <v>5</v>
      </c>
      <c r="D368" s="56" t="s">
        <v>9</v>
      </c>
      <c r="E368" s="56">
        <v>2019</v>
      </c>
      <c r="F368" s="56">
        <v>724.63</v>
      </c>
      <c r="G368" t="s">
        <v>232</v>
      </c>
      <c r="H368">
        <v>943.44</v>
      </c>
    </row>
    <row r="369" spans="1:8">
      <c r="A369" s="220">
        <v>43466</v>
      </c>
      <c r="B369" s="220">
        <v>43830</v>
      </c>
      <c r="C369" s="56" t="s">
        <v>5</v>
      </c>
      <c r="D369" s="56" t="s">
        <v>9</v>
      </c>
      <c r="E369" s="56">
        <v>2019</v>
      </c>
      <c r="F369" s="56">
        <v>1109.0899999999999</v>
      </c>
      <c r="G369" t="s">
        <v>232</v>
      </c>
      <c r="H369">
        <v>1443.99</v>
      </c>
    </row>
    <row r="370" spans="1:8">
      <c r="A370" s="220">
        <v>43831</v>
      </c>
      <c r="B370" s="220">
        <v>44196</v>
      </c>
      <c r="C370" s="56" t="s">
        <v>5</v>
      </c>
      <c r="D370" s="56" t="s">
        <v>9</v>
      </c>
      <c r="E370" s="56">
        <v>2020</v>
      </c>
      <c r="F370" s="56">
        <v>949.2</v>
      </c>
      <c r="G370" t="s">
        <v>232</v>
      </c>
      <c r="H370">
        <v>1320.84</v>
      </c>
    </row>
    <row r="371" spans="1:8">
      <c r="A371" s="220">
        <v>43831</v>
      </c>
      <c r="B371" s="220">
        <v>44196</v>
      </c>
      <c r="C371" s="56" t="s">
        <v>5</v>
      </c>
      <c r="D371" s="56" t="s">
        <v>9</v>
      </c>
      <c r="E371" s="56">
        <v>2020</v>
      </c>
      <c r="F371" s="56">
        <v>862.62</v>
      </c>
      <c r="G371" t="s">
        <v>232</v>
      </c>
      <c r="H371">
        <v>1200.3599999999999</v>
      </c>
    </row>
    <row r="372" spans="1:8">
      <c r="A372" s="220">
        <v>43831</v>
      </c>
      <c r="B372" s="220">
        <v>44196</v>
      </c>
      <c r="C372" s="56" t="s">
        <v>5</v>
      </c>
      <c r="D372" s="56" t="s">
        <v>9</v>
      </c>
      <c r="E372" s="56">
        <v>2020</v>
      </c>
      <c r="F372" s="56">
        <v>751.72</v>
      </c>
      <c r="G372" t="s">
        <v>232</v>
      </c>
      <c r="H372">
        <v>1046.04</v>
      </c>
    </row>
    <row r="373" spans="1:8">
      <c r="A373" s="220">
        <v>43466</v>
      </c>
      <c r="B373" s="220">
        <v>43830</v>
      </c>
      <c r="C373" s="56" t="s">
        <v>5</v>
      </c>
      <c r="D373" s="56" t="s">
        <v>9</v>
      </c>
      <c r="E373" s="56">
        <v>2019</v>
      </c>
      <c r="F373" s="56">
        <v>1743.1</v>
      </c>
      <c r="G373" t="s">
        <v>232</v>
      </c>
      <c r="H373">
        <v>2269.44</v>
      </c>
    </row>
    <row r="374" spans="1:8">
      <c r="A374" s="220">
        <v>43466</v>
      </c>
      <c r="B374" s="220">
        <v>43830</v>
      </c>
      <c r="C374" s="56" t="s">
        <v>5</v>
      </c>
      <c r="D374" s="56" t="s">
        <v>9</v>
      </c>
      <c r="E374" s="56">
        <v>2019</v>
      </c>
      <c r="F374" s="56">
        <v>2196.0300000000002</v>
      </c>
      <c r="G374" t="s">
        <v>232</v>
      </c>
      <c r="H374">
        <v>2859.13</v>
      </c>
    </row>
    <row r="375" spans="1:8">
      <c r="A375" s="220">
        <v>43831</v>
      </c>
      <c r="B375" s="220">
        <v>44196</v>
      </c>
      <c r="C375" s="56" t="s">
        <v>5</v>
      </c>
      <c r="D375" s="56" t="s">
        <v>9</v>
      </c>
      <c r="E375" s="56">
        <v>2020</v>
      </c>
      <c r="F375" s="56">
        <v>1447.39</v>
      </c>
      <c r="G375" t="s">
        <v>232</v>
      </c>
      <c r="H375">
        <v>2014.08</v>
      </c>
    </row>
    <row r="376" spans="1:8">
      <c r="A376" s="220">
        <v>43466</v>
      </c>
      <c r="B376" s="220">
        <v>43830</v>
      </c>
      <c r="C376" s="56" t="s">
        <v>5</v>
      </c>
      <c r="D376" s="56" t="s">
        <v>9</v>
      </c>
      <c r="E376" s="56">
        <v>2019</v>
      </c>
      <c r="F376" s="56">
        <v>217.89</v>
      </c>
      <c r="G376" t="s">
        <v>232</v>
      </c>
      <c r="H376">
        <v>283.68</v>
      </c>
    </row>
    <row r="377" spans="1:8">
      <c r="A377" s="220">
        <v>43831</v>
      </c>
      <c r="B377" s="220">
        <v>44196</v>
      </c>
      <c r="C377" s="56" t="s">
        <v>5</v>
      </c>
      <c r="D377" s="56" t="s">
        <v>9</v>
      </c>
      <c r="E377" s="56">
        <v>2020</v>
      </c>
      <c r="F377" s="56">
        <v>3196.27</v>
      </c>
      <c r="G377" t="s">
        <v>232</v>
      </c>
      <c r="H377">
        <v>4447.68</v>
      </c>
    </row>
    <row r="378" spans="1:8">
      <c r="A378" s="220">
        <v>43831</v>
      </c>
      <c r="B378" s="220">
        <v>44196</v>
      </c>
      <c r="C378" s="56" t="s">
        <v>5</v>
      </c>
      <c r="D378" s="56" t="s">
        <v>9</v>
      </c>
      <c r="E378" s="56">
        <v>2020</v>
      </c>
      <c r="F378" s="56">
        <v>697.39</v>
      </c>
      <c r="G378" t="s">
        <v>232</v>
      </c>
      <c r="H378">
        <v>970.44</v>
      </c>
    </row>
    <row r="379" spans="1:8">
      <c r="A379" s="220">
        <v>43831</v>
      </c>
      <c r="B379" s="220">
        <v>44196</v>
      </c>
      <c r="C379" s="56" t="s">
        <v>5</v>
      </c>
      <c r="D379" s="56" t="s">
        <v>9</v>
      </c>
      <c r="E379" s="56">
        <v>2020</v>
      </c>
      <c r="F379" s="56">
        <v>757.67</v>
      </c>
      <c r="G379" t="s">
        <v>232</v>
      </c>
      <c r="H379">
        <v>1054.32</v>
      </c>
    </row>
    <row r="380" spans="1:8">
      <c r="A380" s="220">
        <v>43466</v>
      </c>
      <c r="B380" s="220">
        <v>43830</v>
      </c>
      <c r="C380" s="56" t="s">
        <v>5</v>
      </c>
      <c r="D380" s="56" t="s">
        <v>9</v>
      </c>
      <c r="E380" s="56">
        <v>2019</v>
      </c>
      <c r="F380" s="56">
        <v>1152.18</v>
      </c>
      <c r="G380" t="s">
        <v>232</v>
      </c>
      <c r="H380">
        <v>1500.08</v>
      </c>
    </row>
    <row r="381" spans="1:8">
      <c r="A381" s="220">
        <v>43466</v>
      </c>
      <c r="B381" s="220">
        <v>43830</v>
      </c>
      <c r="C381" s="56" t="s">
        <v>5</v>
      </c>
      <c r="D381" s="56" t="s">
        <v>9</v>
      </c>
      <c r="E381" s="56">
        <v>2019</v>
      </c>
      <c r="F381" s="56">
        <v>1724.39</v>
      </c>
      <c r="G381" t="s">
        <v>232</v>
      </c>
      <c r="H381">
        <v>2245.08</v>
      </c>
    </row>
    <row r="382" spans="1:8">
      <c r="A382" s="220">
        <v>43831</v>
      </c>
      <c r="B382" s="220">
        <v>44196</v>
      </c>
      <c r="C382" s="56" t="s">
        <v>5</v>
      </c>
      <c r="D382" s="56" t="s">
        <v>9</v>
      </c>
      <c r="E382" s="56">
        <v>2020</v>
      </c>
      <c r="F382" s="56">
        <v>751.72</v>
      </c>
      <c r="G382" t="s">
        <v>232</v>
      </c>
      <c r="H382">
        <v>1046.04</v>
      </c>
    </row>
    <row r="383" spans="1:8">
      <c r="A383" s="220">
        <v>43466</v>
      </c>
      <c r="B383" s="220">
        <v>43830</v>
      </c>
      <c r="C383" s="56" t="s">
        <v>5</v>
      </c>
      <c r="D383" s="56" t="s">
        <v>9</v>
      </c>
      <c r="E383" s="56">
        <v>2019</v>
      </c>
      <c r="F383" s="56">
        <v>2724.7</v>
      </c>
      <c r="G383" t="s">
        <v>232</v>
      </c>
      <c r="H383">
        <v>3547.44</v>
      </c>
    </row>
    <row r="384" spans="1:8">
      <c r="A384" s="220">
        <v>43831</v>
      </c>
      <c r="B384" s="220">
        <v>44196</v>
      </c>
      <c r="C384" s="56" t="s">
        <v>5</v>
      </c>
      <c r="D384" s="56" t="s">
        <v>9</v>
      </c>
      <c r="E384" s="56">
        <v>2020</v>
      </c>
      <c r="F384" s="56">
        <v>355.83</v>
      </c>
      <c r="G384" t="s">
        <v>232</v>
      </c>
      <c r="H384">
        <v>495.15</v>
      </c>
    </row>
    <row r="385" spans="1:8">
      <c r="A385" s="220">
        <v>43466</v>
      </c>
      <c r="B385" s="220">
        <v>43830</v>
      </c>
      <c r="C385" s="56" t="s">
        <v>5</v>
      </c>
      <c r="D385" s="56" t="s">
        <v>9</v>
      </c>
      <c r="E385" s="56">
        <v>2019</v>
      </c>
      <c r="F385" s="56">
        <v>905.79</v>
      </c>
      <c r="G385" t="s">
        <v>232</v>
      </c>
      <c r="H385">
        <v>1179.3</v>
      </c>
    </row>
    <row r="386" spans="1:8">
      <c r="A386" s="220">
        <v>43466</v>
      </c>
      <c r="B386" s="220">
        <v>43830</v>
      </c>
      <c r="C386" s="56" t="s">
        <v>5</v>
      </c>
      <c r="D386" s="56" t="s">
        <v>9</v>
      </c>
      <c r="E386" s="56">
        <v>2019</v>
      </c>
      <c r="F386" s="56">
        <v>1471.02</v>
      </c>
      <c r="G386" t="s">
        <v>232</v>
      </c>
      <c r="H386">
        <v>1915.2</v>
      </c>
    </row>
    <row r="387" spans="1:8">
      <c r="A387" s="220">
        <v>43466</v>
      </c>
      <c r="B387" s="220">
        <v>43830</v>
      </c>
      <c r="C387" s="56" t="s">
        <v>5</v>
      </c>
      <c r="D387" s="56" t="s">
        <v>9</v>
      </c>
      <c r="E387" s="56">
        <v>2019</v>
      </c>
      <c r="F387" s="56">
        <v>2140.86</v>
      </c>
      <c r="G387" t="s">
        <v>232</v>
      </c>
      <c r="H387">
        <v>2787.3</v>
      </c>
    </row>
    <row r="388" spans="1:8">
      <c r="A388" s="220">
        <v>43466</v>
      </c>
      <c r="B388" s="220">
        <v>43830</v>
      </c>
      <c r="C388" s="56" t="s">
        <v>5</v>
      </c>
      <c r="D388" s="56" t="s">
        <v>9</v>
      </c>
      <c r="E388" s="56">
        <v>2019</v>
      </c>
      <c r="F388" s="56">
        <v>818.48</v>
      </c>
      <c r="G388" t="s">
        <v>232</v>
      </c>
      <c r="H388">
        <v>1065.6199999999999</v>
      </c>
    </row>
    <row r="389" spans="1:8">
      <c r="A389" s="220">
        <v>43466</v>
      </c>
      <c r="B389" s="220">
        <v>43830</v>
      </c>
      <c r="C389" s="56" t="s">
        <v>5</v>
      </c>
      <c r="D389" s="56" t="s">
        <v>9</v>
      </c>
      <c r="E389" s="56">
        <v>2019</v>
      </c>
      <c r="F389" s="56">
        <v>589.79</v>
      </c>
      <c r="G389" t="s">
        <v>232</v>
      </c>
      <c r="H389">
        <v>767.88</v>
      </c>
    </row>
    <row r="390" spans="1:8">
      <c r="A390" s="220">
        <v>43831</v>
      </c>
      <c r="B390" s="220">
        <v>44196</v>
      </c>
      <c r="C390" s="56" t="s">
        <v>5</v>
      </c>
      <c r="D390" s="56" t="s">
        <v>9</v>
      </c>
      <c r="E390" s="56">
        <v>2020</v>
      </c>
      <c r="F390" s="56">
        <v>5847.91</v>
      </c>
      <c r="G390" t="s">
        <v>232</v>
      </c>
      <c r="H390">
        <v>8137.5</v>
      </c>
    </row>
    <row r="391" spans="1:8">
      <c r="A391" s="220">
        <v>43831</v>
      </c>
      <c r="B391" s="220">
        <v>44196</v>
      </c>
      <c r="C391" s="56" t="s">
        <v>5</v>
      </c>
      <c r="D391" s="56" t="s">
        <v>9</v>
      </c>
      <c r="E391" s="56">
        <v>2020</v>
      </c>
      <c r="F391" s="56">
        <v>569.67999999999995</v>
      </c>
      <c r="G391" t="s">
        <v>232</v>
      </c>
      <c r="H391">
        <v>792.72</v>
      </c>
    </row>
    <row r="392" spans="1:8">
      <c r="A392" s="220">
        <v>43831</v>
      </c>
      <c r="B392" s="220">
        <v>44196</v>
      </c>
      <c r="C392" s="56" t="s">
        <v>5</v>
      </c>
      <c r="D392" s="56" t="s">
        <v>9</v>
      </c>
      <c r="E392" s="56">
        <v>2020</v>
      </c>
      <c r="F392" s="56">
        <v>1032.94</v>
      </c>
      <c r="G392" t="s">
        <v>232</v>
      </c>
      <c r="H392">
        <v>1437.36</v>
      </c>
    </row>
    <row r="393" spans="1:8">
      <c r="A393" s="220">
        <v>43831</v>
      </c>
      <c r="B393" s="220">
        <v>44196</v>
      </c>
      <c r="C393" s="56" t="s">
        <v>5</v>
      </c>
      <c r="D393" s="56" t="s">
        <v>9</v>
      </c>
      <c r="E393" s="56">
        <v>2020</v>
      </c>
      <c r="F393" s="56">
        <v>3750.55</v>
      </c>
      <c r="G393" t="s">
        <v>232</v>
      </c>
      <c r="H393">
        <v>5218.9799999999996</v>
      </c>
    </row>
    <row r="394" spans="1:8">
      <c r="A394" s="220">
        <v>43831</v>
      </c>
      <c r="B394" s="220">
        <v>44196</v>
      </c>
      <c r="C394" s="56" t="s">
        <v>5</v>
      </c>
      <c r="D394" s="56" t="s">
        <v>9</v>
      </c>
      <c r="E394" s="56">
        <v>2020</v>
      </c>
      <c r="F394" s="56">
        <v>548.98</v>
      </c>
      <c r="G394" t="s">
        <v>232</v>
      </c>
      <c r="H394">
        <v>763.92</v>
      </c>
    </row>
    <row r="395" spans="1:8">
      <c r="A395" s="220">
        <v>43466</v>
      </c>
      <c r="B395" s="220">
        <v>43830</v>
      </c>
      <c r="C395" s="56" t="s">
        <v>5</v>
      </c>
      <c r="D395" s="56" t="s">
        <v>9</v>
      </c>
      <c r="E395" s="56">
        <v>2019</v>
      </c>
      <c r="F395" s="56">
        <v>1029.6199999999999</v>
      </c>
      <c r="G395" t="s">
        <v>232</v>
      </c>
      <c r="H395">
        <v>1340.52</v>
      </c>
    </row>
    <row r="396" spans="1:8">
      <c r="A396" s="220">
        <v>43831</v>
      </c>
      <c r="B396" s="220">
        <v>44196</v>
      </c>
      <c r="C396" s="56" t="s">
        <v>5</v>
      </c>
      <c r="D396" s="56" t="s">
        <v>9</v>
      </c>
      <c r="E396" s="56">
        <v>2020</v>
      </c>
      <c r="F396" s="56">
        <v>697.39</v>
      </c>
      <c r="G396" t="s">
        <v>232</v>
      </c>
      <c r="H396">
        <v>970.43</v>
      </c>
    </row>
    <row r="397" spans="1:8">
      <c r="A397" s="220">
        <v>43466</v>
      </c>
      <c r="B397" s="220">
        <v>43830</v>
      </c>
      <c r="C397" s="56" t="s">
        <v>5</v>
      </c>
      <c r="D397" s="56" t="s">
        <v>9</v>
      </c>
      <c r="E397" s="56">
        <v>2019</v>
      </c>
      <c r="F397" s="56">
        <v>1724.39</v>
      </c>
      <c r="G397" t="s">
        <v>232</v>
      </c>
      <c r="H397">
        <v>2245.08</v>
      </c>
    </row>
    <row r="398" spans="1:8">
      <c r="A398" s="220">
        <v>43466</v>
      </c>
      <c r="B398" s="220">
        <v>43830</v>
      </c>
      <c r="C398" s="56" t="s">
        <v>5</v>
      </c>
      <c r="D398" s="56" t="s">
        <v>9</v>
      </c>
      <c r="E398" s="56">
        <v>2019</v>
      </c>
      <c r="F398" s="56">
        <v>1546.97</v>
      </c>
      <c r="G398" t="s">
        <v>232</v>
      </c>
      <c r="H398">
        <v>2014.08</v>
      </c>
    </row>
    <row r="399" spans="1:8">
      <c r="A399" s="220">
        <v>43466</v>
      </c>
      <c r="B399" s="220">
        <v>43830</v>
      </c>
      <c r="C399" s="56" t="s">
        <v>5</v>
      </c>
      <c r="D399" s="56" t="s">
        <v>9</v>
      </c>
      <c r="E399" s="56">
        <v>2019</v>
      </c>
      <c r="F399" s="56">
        <v>1029.6199999999999</v>
      </c>
      <c r="G399" t="s">
        <v>232</v>
      </c>
      <c r="H399">
        <v>1340.52</v>
      </c>
    </row>
    <row r="400" spans="1:8">
      <c r="A400" s="220">
        <v>43466</v>
      </c>
      <c r="B400" s="220">
        <v>43830</v>
      </c>
      <c r="C400" s="56" t="s">
        <v>5</v>
      </c>
      <c r="D400" s="56" t="s">
        <v>9</v>
      </c>
      <c r="E400" s="56">
        <v>2019</v>
      </c>
      <c r="F400" s="56">
        <v>626.29</v>
      </c>
      <c r="G400" t="s">
        <v>232</v>
      </c>
      <c r="H400">
        <v>815.4</v>
      </c>
    </row>
    <row r="401" spans="1:8">
      <c r="A401" s="220">
        <v>43831</v>
      </c>
      <c r="B401" s="220">
        <v>44196</v>
      </c>
      <c r="C401" s="56" t="s">
        <v>5</v>
      </c>
      <c r="D401" s="56" t="s">
        <v>9</v>
      </c>
      <c r="E401" s="56">
        <v>2020</v>
      </c>
      <c r="F401" s="56">
        <v>1725.25</v>
      </c>
      <c r="G401" t="s">
        <v>232</v>
      </c>
      <c r="H401">
        <v>2400.7199999999998</v>
      </c>
    </row>
    <row r="402" spans="1:8">
      <c r="A402" s="220">
        <v>43466</v>
      </c>
      <c r="B402" s="220">
        <v>43830</v>
      </c>
      <c r="C402" s="56" t="s">
        <v>5</v>
      </c>
      <c r="D402" s="56" t="s">
        <v>9</v>
      </c>
      <c r="E402" s="56">
        <v>2019</v>
      </c>
      <c r="F402" s="56">
        <v>1457.32</v>
      </c>
      <c r="G402" t="s">
        <v>232</v>
      </c>
      <c r="H402">
        <v>1897.36</v>
      </c>
    </row>
    <row r="403" spans="1:8">
      <c r="A403" s="220">
        <v>43466</v>
      </c>
      <c r="B403" s="220">
        <v>43830</v>
      </c>
      <c r="C403" s="56" t="s">
        <v>5</v>
      </c>
      <c r="D403" s="56" t="s">
        <v>9</v>
      </c>
      <c r="E403" s="56">
        <v>2019</v>
      </c>
      <c r="F403" s="56">
        <v>871.55</v>
      </c>
      <c r="G403" t="s">
        <v>232</v>
      </c>
      <c r="H403">
        <v>1134.72</v>
      </c>
    </row>
    <row r="404" spans="1:8">
      <c r="A404" s="220">
        <v>43466</v>
      </c>
      <c r="B404" s="220">
        <v>43830</v>
      </c>
      <c r="C404" s="56" t="s">
        <v>5</v>
      </c>
      <c r="D404" s="56" t="s">
        <v>9</v>
      </c>
      <c r="E404" s="56">
        <v>2019</v>
      </c>
      <c r="F404" s="56">
        <v>2345.6999999999998</v>
      </c>
      <c r="G404" t="s">
        <v>232</v>
      </c>
      <c r="H404">
        <v>3054</v>
      </c>
    </row>
    <row r="405" spans="1:8">
      <c r="A405" s="220">
        <v>43466</v>
      </c>
      <c r="B405" s="220">
        <v>43830</v>
      </c>
      <c r="C405" s="56" t="s">
        <v>5</v>
      </c>
      <c r="D405" s="56" t="s">
        <v>9</v>
      </c>
      <c r="E405" s="56">
        <v>2019</v>
      </c>
      <c r="F405" s="56">
        <v>736.68</v>
      </c>
      <c r="G405" t="s">
        <v>232</v>
      </c>
      <c r="H405">
        <v>959.12</v>
      </c>
    </row>
    <row r="406" spans="1:8">
      <c r="A406" s="220">
        <v>43466</v>
      </c>
      <c r="B406" s="220">
        <v>43830</v>
      </c>
      <c r="C406" s="56" t="s">
        <v>5</v>
      </c>
      <c r="D406" s="56" t="s">
        <v>9</v>
      </c>
      <c r="E406" s="56">
        <v>2019</v>
      </c>
      <c r="F406" s="56">
        <v>3632.94</v>
      </c>
      <c r="G406" t="s">
        <v>232</v>
      </c>
      <c r="H406">
        <v>4729.92</v>
      </c>
    </row>
    <row r="407" spans="1:8">
      <c r="A407" s="220">
        <v>43466</v>
      </c>
      <c r="B407" s="220">
        <v>43830</v>
      </c>
      <c r="C407" s="56" t="s">
        <v>5</v>
      </c>
      <c r="D407" s="56" t="s">
        <v>9</v>
      </c>
      <c r="E407" s="56">
        <v>2019</v>
      </c>
      <c r="F407" s="56">
        <v>2202.66</v>
      </c>
      <c r="G407" t="s">
        <v>232</v>
      </c>
      <c r="H407">
        <v>2867.76</v>
      </c>
    </row>
    <row r="408" spans="1:8">
      <c r="A408" s="220">
        <v>43831</v>
      </c>
      <c r="B408" s="220">
        <v>44196</v>
      </c>
      <c r="C408" s="56" t="s">
        <v>5</v>
      </c>
      <c r="D408" s="56" t="s">
        <v>9</v>
      </c>
      <c r="E408" s="56">
        <v>2020</v>
      </c>
      <c r="F408" s="56">
        <v>1976.07</v>
      </c>
      <c r="G408" t="s">
        <v>232</v>
      </c>
      <c r="H408">
        <v>2749.75</v>
      </c>
    </row>
    <row r="409" spans="1:8">
      <c r="A409" s="220">
        <v>43466</v>
      </c>
      <c r="B409" s="220">
        <v>43830</v>
      </c>
      <c r="C409" s="56" t="s">
        <v>5</v>
      </c>
      <c r="D409" s="56" t="s">
        <v>9</v>
      </c>
      <c r="E409" s="56">
        <v>2019</v>
      </c>
      <c r="F409" s="56">
        <v>655.97</v>
      </c>
      <c r="G409" t="s">
        <v>232</v>
      </c>
      <c r="H409">
        <v>854.04</v>
      </c>
    </row>
    <row r="410" spans="1:8">
      <c r="A410" s="220">
        <v>43831</v>
      </c>
      <c r="B410" s="220">
        <v>44196</v>
      </c>
      <c r="C410" s="56" t="s">
        <v>5</v>
      </c>
      <c r="D410" s="56" t="s">
        <v>9</v>
      </c>
      <c r="E410" s="56">
        <v>2020</v>
      </c>
      <c r="F410" s="56">
        <v>949.2</v>
      </c>
      <c r="G410" t="s">
        <v>232</v>
      </c>
      <c r="H410">
        <v>1320.84</v>
      </c>
    </row>
    <row r="411" spans="1:8">
      <c r="A411" s="220">
        <v>43831</v>
      </c>
      <c r="B411" s="220">
        <v>44196</v>
      </c>
      <c r="C411" s="56" t="s">
        <v>5</v>
      </c>
      <c r="D411" s="56" t="s">
        <v>9</v>
      </c>
      <c r="E411" s="56">
        <v>2020</v>
      </c>
      <c r="F411" s="56">
        <v>309.60000000000002</v>
      </c>
      <c r="G411" t="s">
        <v>232</v>
      </c>
      <c r="H411">
        <v>430.82</v>
      </c>
    </row>
    <row r="412" spans="1:8">
      <c r="A412" s="220">
        <v>43466</v>
      </c>
      <c r="B412" s="220">
        <v>43830</v>
      </c>
      <c r="C412" s="56" t="s">
        <v>5</v>
      </c>
      <c r="D412" s="56" t="s">
        <v>9</v>
      </c>
      <c r="E412" s="56">
        <v>2019</v>
      </c>
      <c r="F412" s="56">
        <v>1468.44</v>
      </c>
      <c r="G412" t="s">
        <v>232</v>
      </c>
      <c r="H412">
        <v>1911.84</v>
      </c>
    </row>
    <row r="413" spans="1:8">
      <c r="A413" s="220">
        <v>43831</v>
      </c>
      <c r="B413" s="220">
        <v>44196</v>
      </c>
      <c r="C413" s="56" t="s">
        <v>5</v>
      </c>
      <c r="D413" s="56" t="s">
        <v>9</v>
      </c>
      <c r="E413" s="56">
        <v>2020</v>
      </c>
      <c r="F413" s="56">
        <v>1465.21</v>
      </c>
      <c r="G413" t="s">
        <v>232</v>
      </c>
      <c r="H413">
        <v>2038.88</v>
      </c>
    </row>
    <row r="414" spans="1:8">
      <c r="A414" s="220">
        <v>43831</v>
      </c>
      <c r="B414" s="220">
        <v>44196</v>
      </c>
      <c r="C414" s="56" t="s">
        <v>5</v>
      </c>
      <c r="D414" s="56" t="s">
        <v>9</v>
      </c>
      <c r="E414" s="56">
        <v>2020</v>
      </c>
      <c r="F414" s="56">
        <v>1376.33</v>
      </c>
      <c r="G414" t="s">
        <v>232</v>
      </c>
      <c r="H414">
        <v>1915.2</v>
      </c>
    </row>
    <row r="415" spans="1:8">
      <c r="A415" s="220">
        <v>43466</v>
      </c>
      <c r="B415" s="220">
        <v>43830</v>
      </c>
      <c r="C415" s="56" t="s">
        <v>5</v>
      </c>
      <c r="D415" s="56" t="s">
        <v>9</v>
      </c>
      <c r="E415" s="56">
        <v>2019</v>
      </c>
      <c r="F415" s="56">
        <v>499.74</v>
      </c>
      <c r="G415" t="s">
        <v>232</v>
      </c>
      <c r="H415">
        <v>650.64</v>
      </c>
    </row>
    <row r="416" spans="1:8">
      <c r="A416" s="220">
        <v>43831</v>
      </c>
      <c r="B416" s="220">
        <v>44196</v>
      </c>
      <c r="C416" s="56" t="s">
        <v>5</v>
      </c>
      <c r="D416" s="56" t="s">
        <v>9</v>
      </c>
      <c r="E416" s="56">
        <v>2020</v>
      </c>
      <c r="F416" s="56">
        <v>757.67</v>
      </c>
      <c r="G416" t="s">
        <v>232</v>
      </c>
      <c r="H416">
        <v>1054.32</v>
      </c>
    </row>
    <row r="417" spans="1:8">
      <c r="A417" s="220">
        <v>43831</v>
      </c>
      <c r="B417" s="220">
        <v>44196</v>
      </c>
      <c r="C417" s="56" t="s">
        <v>5</v>
      </c>
      <c r="D417" s="56" t="s">
        <v>9</v>
      </c>
      <c r="E417" s="56">
        <v>2020</v>
      </c>
      <c r="F417" s="56">
        <v>2818.96</v>
      </c>
      <c r="G417" t="s">
        <v>232</v>
      </c>
      <c r="H417">
        <v>3922.65</v>
      </c>
    </row>
    <row r="418" spans="1:8">
      <c r="A418" s="220">
        <v>43466</v>
      </c>
      <c r="B418" s="220">
        <v>43830</v>
      </c>
      <c r="C418" s="56" t="s">
        <v>5</v>
      </c>
      <c r="D418" s="56" t="s">
        <v>9</v>
      </c>
      <c r="E418" s="56">
        <v>2019</v>
      </c>
      <c r="F418" s="56">
        <v>773.48</v>
      </c>
      <c r="G418" t="s">
        <v>232</v>
      </c>
      <c r="H418">
        <v>1007.04</v>
      </c>
    </row>
    <row r="419" spans="1:8">
      <c r="A419" s="220">
        <v>43466</v>
      </c>
      <c r="B419" s="220">
        <v>43830</v>
      </c>
      <c r="C419" s="56" t="s">
        <v>5</v>
      </c>
      <c r="D419" s="56" t="s">
        <v>9</v>
      </c>
      <c r="E419" s="56">
        <v>2019</v>
      </c>
      <c r="F419" s="56">
        <v>4390.96</v>
      </c>
      <c r="G419" t="s">
        <v>232</v>
      </c>
      <c r="H419">
        <v>5716.83</v>
      </c>
    </row>
    <row r="420" spans="1:8">
      <c r="A420" s="220">
        <v>43466</v>
      </c>
      <c r="B420" s="220">
        <v>43830</v>
      </c>
      <c r="C420" s="56" t="s">
        <v>5</v>
      </c>
      <c r="D420" s="56" t="s">
        <v>9</v>
      </c>
      <c r="E420" s="56">
        <v>2019</v>
      </c>
      <c r="F420" s="56">
        <v>1035.24</v>
      </c>
      <c r="G420" t="s">
        <v>232</v>
      </c>
      <c r="H420">
        <v>1347.84</v>
      </c>
    </row>
    <row r="421" spans="1:8">
      <c r="A421" s="220">
        <v>43466</v>
      </c>
      <c r="B421" s="220">
        <v>43830</v>
      </c>
      <c r="C421" s="56" t="s">
        <v>5</v>
      </c>
      <c r="D421" s="56" t="s">
        <v>9</v>
      </c>
      <c r="E421" s="56">
        <v>2019</v>
      </c>
      <c r="F421" s="56">
        <v>80.92</v>
      </c>
      <c r="G421" t="s">
        <v>232</v>
      </c>
      <c r="H421">
        <v>105.36</v>
      </c>
    </row>
    <row r="422" spans="1:8">
      <c r="A422" s="220">
        <v>43831</v>
      </c>
      <c r="B422" s="220">
        <v>44196</v>
      </c>
      <c r="C422" s="56" t="s">
        <v>5</v>
      </c>
      <c r="D422" s="56" t="s">
        <v>9</v>
      </c>
      <c r="E422" s="56">
        <v>2020</v>
      </c>
      <c r="F422" s="56">
        <v>653.33000000000004</v>
      </c>
      <c r="G422" t="s">
        <v>232</v>
      </c>
      <c r="H422">
        <v>909.12</v>
      </c>
    </row>
    <row r="423" spans="1:8">
      <c r="A423" s="220">
        <v>43466</v>
      </c>
      <c r="B423" s="220">
        <v>43830</v>
      </c>
      <c r="C423" s="56" t="s">
        <v>5</v>
      </c>
      <c r="D423" s="56" t="s">
        <v>9</v>
      </c>
      <c r="E423" s="56">
        <v>2019</v>
      </c>
      <c r="F423" s="56">
        <v>1425.72</v>
      </c>
      <c r="G423" t="s">
        <v>232</v>
      </c>
      <c r="H423">
        <v>1856.22</v>
      </c>
    </row>
    <row r="424" spans="1:8">
      <c r="A424" s="220">
        <v>43831</v>
      </c>
      <c r="B424" s="220">
        <v>44196</v>
      </c>
      <c r="C424" s="56" t="s">
        <v>5</v>
      </c>
      <c r="D424" s="56" t="s">
        <v>9</v>
      </c>
      <c r="E424" s="56">
        <v>2020</v>
      </c>
      <c r="F424" s="56">
        <v>688.17</v>
      </c>
      <c r="G424" t="s">
        <v>232</v>
      </c>
      <c r="H424">
        <v>957.6</v>
      </c>
    </row>
    <row r="425" spans="1:8">
      <c r="A425" s="220">
        <v>43466</v>
      </c>
      <c r="B425" s="220">
        <v>43830</v>
      </c>
      <c r="C425" s="56" t="s">
        <v>5</v>
      </c>
      <c r="D425" s="56" t="s">
        <v>9</v>
      </c>
      <c r="E425" s="56">
        <v>2019</v>
      </c>
      <c r="F425" s="56">
        <v>334.02</v>
      </c>
      <c r="G425" t="s">
        <v>232</v>
      </c>
      <c r="H425">
        <v>434.88</v>
      </c>
    </row>
    <row r="426" spans="1:8">
      <c r="A426" s="220">
        <v>43831</v>
      </c>
      <c r="B426" s="220">
        <v>44196</v>
      </c>
      <c r="C426" s="56" t="s">
        <v>5</v>
      </c>
      <c r="D426" s="56" t="s">
        <v>9</v>
      </c>
      <c r="E426" s="56">
        <v>2020</v>
      </c>
      <c r="F426" s="56">
        <v>1002.3</v>
      </c>
      <c r="G426" t="s">
        <v>232</v>
      </c>
      <c r="H426">
        <v>1394.72</v>
      </c>
    </row>
    <row r="427" spans="1:8">
      <c r="A427" s="220">
        <v>43831</v>
      </c>
      <c r="B427" s="220">
        <v>44196</v>
      </c>
      <c r="C427" s="56" t="s">
        <v>5</v>
      </c>
      <c r="D427" s="56" t="s">
        <v>9</v>
      </c>
      <c r="E427" s="56">
        <v>2020</v>
      </c>
      <c r="F427" s="56">
        <v>633.23</v>
      </c>
      <c r="G427" t="s">
        <v>232</v>
      </c>
      <c r="H427">
        <v>881.16</v>
      </c>
    </row>
    <row r="428" spans="1:8">
      <c r="A428" s="220">
        <v>43466</v>
      </c>
      <c r="B428" s="220">
        <v>43830</v>
      </c>
      <c r="C428" s="56" t="s">
        <v>5</v>
      </c>
      <c r="D428" s="56" t="s">
        <v>9</v>
      </c>
      <c r="E428" s="56">
        <v>2019</v>
      </c>
      <c r="F428" s="56">
        <v>2883.81</v>
      </c>
      <c r="G428" t="s">
        <v>232</v>
      </c>
      <c r="H428">
        <v>3754.59</v>
      </c>
    </row>
    <row r="429" spans="1:8">
      <c r="A429" s="220">
        <v>43466</v>
      </c>
      <c r="B429" s="220">
        <v>43830</v>
      </c>
      <c r="C429" s="56" t="s">
        <v>5</v>
      </c>
      <c r="D429" s="56" t="s">
        <v>9</v>
      </c>
      <c r="E429" s="56">
        <v>2019</v>
      </c>
      <c r="F429" s="56">
        <v>695.92</v>
      </c>
      <c r="G429" t="s">
        <v>232</v>
      </c>
      <c r="H429">
        <v>906.05</v>
      </c>
    </row>
    <row r="430" spans="1:8">
      <c r="A430" s="220">
        <v>43466</v>
      </c>
      <c r="B430" s="220">
        <v>43830</v>
      </c>
      <c r="C430" s="56" t="s">
        <v>5</v>
      </c>
      <c r="D430" s="56" t="s">
        <v>9</v>
      </c>
      <c r="E430" s="56">
        <v>2019</v>
      </c>
      <c r="F430" s="56">
        <v>2374.65</v>
      </c>
      <c r="G430" t="s">
        <v>232</v>
      </c>
      <c r="H430">
        <v>3091.68</v>
      </c>
    </row>
    <row r="431" spans="1:8">
      <c r="A431" s="220">
        <v>43466</v>
      </c>
      <c r="B431" s="220">
        <v>43830</v>
      </c>
      <c r="C431" s="56" t="s">
        <v>5</v>
      </c>
      <c r="D431" s="56" t="s">
        <v>9</v>
      </c>
      <c r="E431" s="56">
        <v>2019</v>
      </c>
      <c r="F431" s="56">
        <v>558.08000000000004</v>
      </c>
      <c r="G431" t="s">
        <v>232</v>
      </c>
      <c r="H431">
        <v>726.6</v>
      </c>
    </row>
    <row r="432" spans="1:8">
      <c r="A432" s="220">
        <v>43466</v>
      </c>
      <c r="B432" s="220">
        <v>43830</v>
      </c>
      <c r="C432" s="56" t="s">
        <v>5</v>
      </c>
      <c r="D432" s="56" t="s">
        <v>9</v>
      </c>
      <c r="E432" s="56">
        <v>2019</v>
      </c>
      <c r="F432" s="56">
        <v>908.23</v>
      </c>
      <c r="G432" t="s">
        <v>232</v>
      </c>
      <c r="H432">
        <v>1182.48</v>
      </c>
    </row>
    <row r="433" spans="1:8">
      <c r="A433" s="220">
        <v>43466</v>
      </c>
      <c r="B433" s="220">
        <v>43830</v>
      </c>
      <c r="C433" s="56" t="s">
        <v>5</v>
      </c>
      <c r="D433" s="56" t="s">
        <v>9</v>
      </c>
      <c r="E433" s="56">
        <v>2019</v>
      </c>
      <c r="F433" s="56">
        <v>1599.68</v>
      </c>
      <c r="G433" t="s">
        <v>232</v>
      </c>
      <c r="H433">
        <v>2082.71</v>
      </c>
    </row>
    <row r="434" spans="1:8">
      <c r="A434" s="220">
        <v>43831</v>
      </c>
      <c r="B434" s="220">
        <v>44196</v>
      </c>
      <c r="C434" s="56" t="s">
        <v>5</v>
      </c>
      <c r="D434" s="56" t="s">
        <v>9</v>
      </c>
      <c r="E434" s="56">
        <v>2020</v>
      </c>
      <c r="F434" s="56">
        <v>3841.73</v>
      </c>
      <c r="G434" t="s">
        <v>232</v>
      </c>
      <c r="H434">
        <v>5345.86</v>
      </c>
    </row>
    <row r="435" spans="1:8">
      <c r="A435" s="220">
        <v>43831</v>
      </c>
      <c r="B435" s="220">
        <v>44196</v>
      </c>
      <c r="C435" s="56" t="s">
        <v>5</v>
      </c>
      <c r="D435" s="56" t="s">
        <v>9</v>
      </c>
      <c r="E435" s="56">
        <v>2020</v>
      </c>
      <c r="F435" s="56">
        <v>3675.4</v>
      </c>
      <c r="G435" t="s">
        <v>232</v>
      </c>
      <c r="H435">
        <v>5114.3999999999996</v>
      </c>
    </row>
    <row r="436" spans="1:8">
      <c r="A436" s="220">
        <v>43831</v>
      </c>
      <c r="B436" s="220">
        <v>44196</v>
      </c>
      <c r="C436" s="56" t="s">
        <v>5</v>
      </c>
      <c r="D436" s="56" t="s">
        <v>9</v>
      </c>
      <c r="E436" s="56">
        <v>2020</v>
      </c>
      <c r="F436" s="56">
        <v>548.98</v>
      </c>
      <c r="G436" t="s">
        <v>232</v>
      </c>
      <c r="H436">
        <v>763.92</v>
      </c>
    </row>
    <row r="437" spans="1:8">
      <c r="A437" s="220">
        <v>43831</v>
      </c>
      <c r="B437" s="220">
        <v>44196</v>
      </c>
      <c r="C437" s="56" t="s">
        <v>5</v>
      </c>
      <c r="D437" s="56" t="s">
        <v>9</v>
      </c>
      <c r="E437" s="56">
        <v>2020</v>
      </c>
      <c r="F437" s="56">
        <v>2227.83</v>
      </c>
      <c r="G437" t="s">
        <v>232</v>
      </c>
      <c r="H437">
        <v>3100.08</v>
      </c>
    </row>
    <row r="438" spans="1:8">
      <c r="A438" s="220">
        <v>43831</v>
      </c>
      <c r="B438" s="220">
        <v>44196</v>
      </c>
      <c r="C438" s="56" t="s">
        <v>5</v>
      </c>
      <c r="D438" s="56" t="s">
        <v>9</v>
      </c>
      <c r="E438" s="56">
        <v>2020</v>
      </c>
      <c r="F438" s="56">
        <v>1614.69</v>
      </c>
      <c r="G438" t="s">
        <v>232</v>
      </c>
      <c r="H438">
        <v>2246.88</v>
      </c>
    </row>
    <row r="439" spans="1:8">
      <c r="A439" s="220">
        <v>43466</v>
      </c>
      <c r="B439" s="220">
        <v>43830</v>
      </c>
      <c r="C439" s="56" t="s">
        <v>5</v>
      </c>
      <c r="D439" s="56" t="s">
        <v>9</v>
      </c>
      <c r="E439" s="56">
        <v>2019</v>
      </c>
      <c r="F439" s="56">
        <v>1539.92</v>
      </c>
      <c r="G439" t="s">
        <v>232</v>
      </c>
      <c r="H439">
        <v>2004.9</v>
      </c>
    </row>
    <row r="440" spans="1:8">
      <c r="A440" s="220">
        <v>43466</v>
      </c>
      <c r="B440" s="220">
        <v>43830</v>
      </c>
      <c r="C440" s="56" t="s">
        <v>5</v>
      </c>
      <c r="D440" s="56" t="s">
        <v>9</v>
      </c>
      <c r="E440" s="56">
        <v>2019</v>
      </c>
      <c r="F440" s="56">
        <v>1700.15</v>
      </c>
      <c r="G440" t="s">
        <v>232</v>
      </c>
      <c r="H440">
        <v>2213.52</v>
      </c>
    </row>
    <row r="441" spans="1:8">
      <c r="A441" s="220">
        <v>43466</v>
      </c>
      <c r="B441" s="220">
        <v>43830</v>
      </c>
      <c r="C441" s="56" t="s">
        <v>5</v>
      </c>
      <c r="D441" s="56" t="s">
        <v>9</v>
      </c>
      <c r="E441" s="56">
        <v>2019</v>
      </c>
      <c r="F441" s="56">
        <v>1029.6199999999999</v>
      </c>
      <c r="G441" t="s">
        <v>232</v>
      </c>
      <c r="H441">
        <v>1340.52</v>
      </c>
    </row>
    <row r="442" spans="1:8">
      <c r="A442" s="220">
        <v>43831</v>
      </c>
      <c r="B442" s="220">
        <v>44196</v>
      </c>
      <c r="C442" s="56" t="s">
        <v>5</v>
      </c>
      <c r="D442" s="56" t="s">
        <v>9</v>
      </c>
      <c r="E442" s="56">
        <v>2020</v>
      </c>
      <c r="F442" s="56">
        <v>1898.41</v>
      </c>
      <c r="G442" t="s">
        <v>232</v>
      </c>
      <c r="H442">
        <v>2641.68</v>
      </c>
    </row>
    <row r="443" spans="1:8">
      <c r="A443" s="220">
        <v>43466</v>
      </c>
      <c r="B443" s="220">
        <v>43830</v>
      </c>
      <c r="C443" s="56" t="s">
        <v>5</v>
      </c>
      <c r="D443" s="56" t="s">
        <v>9</v>
      </c>
      <c r="E443" s="56">
        <v>2019</v>
      </c>
      <c r="F443" s="56">
        <v>626.29</v>
      </c>
      <c r="G443" t="s">
        <v>232</v>
      </c>
      <c r="H443">
        <v>815.4</v>
      </c>
    </row>
    <row r="444" spans="1:8">
      <c r="A444" s="220">
        <v>43466</v>
      </c>
      <c r="B444" s="220">
        <v>43830</v>
      </c>
      <c r="C444" s="56" t="s">
        <v>5</v>
      </c>
      <c r="D444" s="56" t="s">
        <v>9</v>
      </c>
      <c r="E444" s="56">
        <v>2019</v>
      </c>
      <c r="F444" s="56">
        <v>569.41999999999996</v>
      </c>
      <c r="G444" t="s">
        <v>232</v>
      </c>
      <c r="H444">
        <v>741.36</v>
      </c>
    </row>
    <row r="445" spans="1:8">
      <c r="A445" s="220">
        <v>43831</v>
      </c>
      <c r="B445" s="220">
        <v>44196</v>
      </c>
      <c r="C445" s="56" t="s">
        <v>5</v>
      </c>
      <c r="D445" s="56" t="s">
        <v>9</v>
      </c>
      <c r="E445" s="56">
        <v>2020</v>
      </c>
      <c r="F445" s="56">
        <v>977.92</v>
      </c>
      <c r="G445" t="s">
        <v>232</v>
      </c>
      <c r="H445">
        <v>1360.8</v>
      </c>
    </row>
    <row r="446" spans="1:8">
      <c r="A446" s="220">
        <v>43466</v>
      </c>
      <c r="B446" s="220">
        <v>43830</v>
      </c>
      <c r="C446" s="56" t="s">
        <v>5</v>
      </c>
      <c r="D446" s="56" t="s">
        <v>9</v>
      </c>
      <c r="E446" s="56">
        <v>2019</v>
      </c>
      <c r="F446" s="56">
        <v>687.86</v>
      </c>
      <c r="G446" t="s">
        <v>232</v>
      </c>
      <c r="H446">
        <v>895.56</v>
      </c>
    </row>
    <row r="447" spans="1:8">
      <c r="A447" s="220">
        <v>43831</v>
      </c>
      <c r="B447" s="220">
        <v>44196</v>
      </c>
      <c r="C447" s="56" t="s">
        <v>5</v>
      </c>
      <c r="D447" s="56" t="s">
        <v>9</v>
      </c>
      <c r="E447" s="56">
        <v>2020</v>
      </c>
      <c r="F447" s="56">
        <v>818.86</v>
      </c>
      <c r="G447" t="s">
        <v>232</v>
      </c>
      <c r="H447">
        <v>1139.46</v>
      </c>
    </row>
    <row r="448" spans="1:8">
      <c r="A448" s="220">
        <v>43831</v>
      </c>
      <c r="B448" s="220">
        <v>44196</v>
      </c>
      <c r="C448" s="56" t="s">
        <v>5</v>
      </c>
      <c r="D448" s="56" t="s">
        <v>9</v>
      </c>
      <c r="E448" s="56">
        <v>2020</v>
      </c>
      <c r="F448" s="56">
        <v>2672.38</v>
      </c>
      <c r="G448" t="s">
        <v>232</v>
      </c>
      <c r="H448">
        <v>3718.68</v>
      </c>
    </row>
    <row r="449" spans="1:8">
      <c r="A449" s="220">
        <v>43831</v>
      </c>
      <c r="B449" s="220">
        <v>44196</v>
      </c>
      <c r="C449" s="56" t="s">
        <v>5</v>
      </c>
      <c r="D449" s="56" t="s">
        <v>9</v>
      </c>
      <c r="E449" s="56">
        <v>2020</v>
      </c>
      <c r="F449" s="56">
        <v>2230.4</v>
      </c>
      <c r="G449" t="s">
        <v>232</v>
      </c>
      <c r="H449">
        <v>3103.65</v>
      </c>
    </row>
    <row r="450" spans="1:8">
      <c r="A450" s="220">
        <v>43466</v>
      </c>
      <c r="B450" s="220">
        <v>43830</v>
      </c>
      <c r="C450" s="56" t="s">
        <v>5</v>
      </c>
      <c r="D450" s="56" t="s">
        <v>9</v>
      </c>
      <c r="E450" s="56">
        <v>2019</v>
      </c>
      <c r="F450" s="56">
        <v>558.08000000000004</v>
      </c>
      <c r="G450" t="s">
        <v>232</v>
      </c>
      <c r="H450">
        <v>726.6</v>
      </c>
    </row>
    <row r="451" spans="1:8">
      <c r="A451" s="220">
        <v>43466</v>
      </c>
      <c r="B451" s="220">
        <v>43830</v>
      </c>
      <c r="C451" s="56" t="s">
        <v>5</v>
      </c>
      <c r="D451" s="56" t="s">
        <v>9</v>
      </c>
      <c r="E451" s="56">
        <v>2019</v>
      </c>
      <c r="F451" s="56">
        <v>999.48</v>
      </c>
      <c r="G451" t="s">
        <v>232</v>
      </c>
      <c r="H451">
        <v>1301.28</v>
      </c>
    </row>
    <row r="452" spans="1:8">
      <c r="A452" s="220">
        <v>43831</v>
      </c>
      <c r="B452" s="220">
        <v>44196</v>
      </c>
      <c r="C452" s="56" t="s">
        <v>5</v>
      </c>
      <c r="D452" s="56" t="s">
        <v>9</v>
      </c>
      <c r="E452" s="56">
        <v>2020</v>
      </c>
      <c r="F452" s="56">
        <v>413.24</v>
      </c>
      <c r="G452" t="s">
        <v>232</v>
      </c>
      <c r="H452">
        <v>575.04</v>
      </c>
    </row>
    <row r="453" spans="1:8">
      <c r="A453" s="220">
        <v>43466</v>
      </c>
      <c r="B453" s="220">
        <v>43830</v>
      </c>
      <c r="C453" s="56" t="s">
        <v>5</v>
      </c>
      <c r="D453" s="56" t="s">
        <v>9</v>
      </c>
      <c r="E453" s="56">
        <v>2019</v>
      </c>
      <c r="F453" s="56">
        <v>966.85</v>
      </c>
      <c r="G453" t="s">
        <v>232</v>
      </c>
      <c r="H453">
        <v>1258.8</v>
      </c>
    </row>
    <row r="454" spans="1:8">
      <c r="A454" s="220">
        <v>43831</v>
      </c>
      <c r="B454" s="220">
        <v>44196</v>
      </c>
      <c r="C454" s="56" t="s">
        <v>5</v>
      </c>
      <c r="D454" s="56" t="s">
        <v>9</v>
      </c>
      <c r="E454" s="56">
        <v>2020</v>
      </c>
      <c r="F454" s="56">
        <v>472.14</v>
      </c>
      <c r="G454" t="s">
        <v>232</v>
      </c>
      <c r="H454">
        <v>657</v>
      </c>
    </row>
    <row r="455" spans="1:8">
      <c r="A455" s="220">
        <v>43831</v>
      </c>
      <c r="B455" s="220">
        <v>44196</v>
      </c>
      <c r="C455" s="56" t="s">
        <v>5</v>
      </c>
      <c r="D455" s="56" t="s">
        <v>9</v>
      </c>
      <c r="E455" s="56">
        <v>2020</v>
      </c>
      <c r="F455" s="56">
        <v>925.55</v>
      </c>
      <c r="G455" t="s">
        <v>232</v>
      </c>
      <c r="H455">
        <v>1287.92</v>
      </c>
    </row>
    <row r="456" spans="1:8">
      <c r="A456" s="220">
        <v>43831</v>
      </c>
      <c r="B456" s="220">
        <v>44196</v>
      </c>
      <c r="C456" s="56" t="s">
        <v>5</v>
      </c>
      <c r="D456" s="56" t="s">
        <v>9</v>
      </c>
      <c r="E456" s="56">
        <v>2020</v>
      </c>
      <c r="F456" s="56">
        <v>586.24</v>
      </c>
      <c r="G456" t="s">
        <v>232</v>
      </c>
      <c r="H456">
        <v>815.76</v>
      </c>
    </row>
    <row r="457" spans="1:8">
      <c r="A457" s="220">
        <v>43466</v>
      </c>
      <c r="B457" s="220">
        <v>43830</v>
      </c>
      <c r="C457" s="56" t="s">
        <v>5</v>
      </c>
      <c r="D457" s="56" t="s">
        <v>9</v>
      </c>
      <c r="E457" s="56">
        <v>2019</v>
      </c>
      <c r="F457" s="56">
        <v>717.17</v>
      </c>
      <c r="G457" t="s">
        <v>232</v>
      </c>
      <c r="H457">
        <v>933.72</v>
      </c>
    </row>
    <row r="458" spans="1:8">
      <c r="A458" s="220">
        <v>43466</v>
      </c>
      <c r="B458" s="220">
        <v>43830</v>
      </c>
      <c r="C458" s="56" t="s">
        <v>5</v>
      </c>
      <c r="D458" s="56" t="s">
        <v>9</v>
      </c>
      <c r="E458" s="56">
        <v>2019</v>
      </c>
      <c r="F458" s="56">
        <v>617.26</v>
      </c>
      <c r="G458" t="s">
        <v>232</v>
      </c>
      <c r="H458">
        <v>803.64</v>
      </c>
    </row>
    <row r="459" spans="1:8">
      <c r="A459" s="220">
        <v>43466</v>
      </c>
      <c r="B459" s="220">
        <v>43830</v>
      </c>
      <c r="C459" s="56" t="s">
        <v>5</v>
      </c>
      <c r="D459" s="56" t="s">
        <v>9</v>
      </c>
      <c r="E459" s="56">
        <v>2019</v>
      </c>
      <c r="F459" s="56">
        <v>982.98</v>
      </c>
      <c r="G459" t="s">
        <v>232</v>
      </c>
      <c r="H459">
        <v>1279.8</v>
      </c>
    </row>
    <row r="460" spans="1:8">
      <c r="A460" s="220">
        <v>43466</v>
      </c>
      <c r="B460" s="220">
        <v>43830</v>
      </c>
      <c r="C460" s="56" t="s">
        <v>5</v>
      </c>
      <c r="D460" s="56" t="s">
        <v>9</v>
      </c>
      <c r="E460" s="56">
        <v>2019</v>
      </c>
      <c r="F460" s="56">
        <v>342.68</v>
      </c>
      <c r="G460" t="s">
        <v>232</v>
      </c>
      <c r="H460">
        <v>446.16</v>
      </c>
    </row>
    <row r="461" spans="1:8">
      <c r="A461" s="220">
        <v>43466</v>
      </c>
      <c r="B461" s="220">
        <v>43830</v>
      </c>
      <c r="C461" s="56" t="s">
        <v>5</v>
      </c>
      <c r="D461" s="56" t="s">
        <v>9</v>
      </c>
      <c r="E461" s="56">
        <v>2019</v>
      </c>
      <c r="F461" s="56">
        <v>724.63</v>
      </c>
      <c r="G461" t="s">
        <v>232</v>
      </c>
      <c r="H461">
        <v>943.44</v>
      </c>
    </row>
    <row r="462" spans="1:8">
      <c r="A462" s="220">
        <v>43466</v>
      </c>
      <c r="B462" s="220">
        <v>43830</v>
      </c>
      <c r="C462" s="56" t="s">
        <v>5</v>
      </c>
      <c r="D462" s="56" t="s">
        <v>9</v>
      </c>
      <c r="E462" s="56">
        <v>2019</v>
      </c>
      <c r="F462" s="56">
        <v>617.26</v>
      </c>
      <c r="G462" t="s">
        <v>232</v>
      </c>
      <c r="H462">
        <v>803.64</v>
      </c>
    </row>
    <row r="463" spans="1:8">
      <c r="A463" s="220">
        <v>43831</v>
      </c>
      <c r="B463" s="220">
        <v>44196</v>
      </c>
      <c r="C463" s="56" t="s">
        <v>5</v>
      </c>
      <c r="D463" s="56" t="s">
        <v>9</v>
      </c>
      <c r="E463" s="56">
        <v>2020</v>
      </c>
      <c r="F463" s="56">
        <v>488.96</v>
      </c>
      <c r="G463" t="s">
        <v>232</v>
      </c>
      <c r="H463">
        <v>680.4</v>
      </c>
    </row>
    <row r="464" spans="1:8">
      <c r="A464" s="220">
        <v>43466</v>
      </c>
      <c r="B464" s="220">
        <v>43830</v>
      </c>
      <c r="C464" s="56" t="s">
        <v>5</v>
      </c>
      <c r="D464" s="56" t="s">
        <v>9</v>
      </c>
      <c r="E464" s="56">
        <v>2019</v>
      </c>
      <c r="F464" s="56">
        <v>999.48</v>
      </c>
      <c r="G464" t="s">
        <v>232</v>
      </c>
      <c r="H464">
        <v>1301.28</v>
      </c>
    </row>
    <row r="465" spans="1:8">
      <c r="A465" s="220">
        <v>43831</v>
      </c>
      <c r="B465" s="220">
        <v>44196</v>
      </c>
      <c r="C465" s="56" t="s">
        <v>5</v>
      </c>
      <c r="D465" s="56" t="s">
        <v>9</v>
      </c>
      <c r="E465" s="56">
        <v>2020</v>
      </c>
      <c r="F465" s="56">
        <v>597.19000000000005</v>
      </c>
      <c r="G465" t="s">
        <v>232</v>
      </c>
      <c r="H465">
        <v>831</v>
      </c>
    </row>
    <row r="466" spans="1:8">
      <c r="A466" s="220">
        <v>43831</v>
      </c>
      <c r="B466" s="220">
        <v>44196</v>
      </c>
      <c r="C466" s="56" t="s">
        <v>5</v>
      </c>
      <c r="D466" s="56" t="s">
        <v>9</v>
      </c>
      <c r="E466" s="56">
        <v>2020</v>
      </c>
      <c r="F466" s="56">
        <v>458.78</v>
      </c>
      <c r="G466" t="s">
        <v>232</v>
      </c>
      <c r="H466">
        <v>638.4</v>
      </c>
    </row>
    <row r="467" spans="1:8">
      <c r="A467" s="220">
        <v>43466</v>
      </c>
      <c r="B467" s="220">
        <v>43830</v>
      </c>
      <c r="C467" s="56" t="s">
        <v>5</v>
      </c>
      <c r="D467" s="56" t="s">
        <v>9</v>
      </c>
      <c r="E467" s="56">
        <v>2019</v>
      </c>
      <c r="F467" s="56">
        <v>267.83999999999997</v>
      </c>
      <c r="G467" t="s">
        <v>232</v>
      </c>
      <c r="H467">
        <v>348.72</v>
      </c>
    </row>
    <row r="468" spans="1:8">
      <c r="A468" s="220">
        <v>43466</v>
      </c>
      <c r="B468" s="220">
        <v>43830</v>
      </c>
      <c r="C468" s="56" t="s">
        <v>5</v>
      </c>
      <c r="D468" s="56" t="s">
        <v>9</v>
      </c>
      <c r="E468" s="56">
        <v>2019</v>
      </c>
      <c r="F468" s="56">
        <v>1116.17</v>
      </c>
      <c r="G468" t="s">
        <v>232</v>
      </c>
      <c r="H468">
        <v>1453.2</v>
      </c>
    </row>
    <row r="469" spans="1:8">
      <c r="A469" s="220">
        <v>43466</v>
      </c>
      <c r="B469" s="220">
        <v>43830</v>
      </c>
      <c r="C469" s="56" t="s">
        <v>5</v>
      </c>
      <c r="D469" s="56" t="s">
        <v>9</v>
      </c>
      <c r="E469" s="56">
        <v>2019</v>
      </c>
      <c r="F469" s="56">
        <v>687.86</v>
      </c>
      <c r="G469" t="s">
        <v>232</v>
      </c>
      <c r="H469">
        <v>895.56</v>
      </c>
    </row>
    <row r="470" spans="1:8">
      <c r="A470" s="220">
        <v>43831</v>
      </c>
      <c r="B470" s="220">
        <v>44196</v>
      </c>
      <c r="C470" s="56" t="s">
        <v>5</v>
      </c>
      <c r="D470" s="56" t="s">
        <v>9</v>
      </c>
      <c r="E470" s="56">
        <v>2020</v>
      </c>
      <c r="F470" s="56">
        <v>2092.1799999999998</v>
      </c>
      <c r="G470" t="s">
        <v>232</v>
      </c>
      <c r="H470">
        <v>2911.32</v>
      </c>
    </row>
    <row r="471" spans="1:8">
      <c r="A471" s="220">
        <v>43466</v>
      </c>
      <c r="B471" s="220">
        <v>43830</v>
      </c>
      <c r="C471" s="56" t="s">
        <v>5</v>
      </c>
      <c r="D471" s="56" t="s">
        <v>9</v>
      </c>
      <c r="E471" s="56">
        <v>2019</v>
      </c>
      <c r="F471" s="56">
        <v>1043.69</v>
      </c>
      <c r="G471" t="s">
        <v>232</v>
      </c>
      <c r="H471">
        <v>1358.84</v>
      </c>
    </row>
    <row r="472" spans="1:8">
      <c r="A472" s="220">
        <v>43831</v>
      </c>
      <c r="B472" s="220">
        <v>44196</v>
      </c>
      <c r="C472" s="56" t="s">
        <v>5</v>
      </c>
      <c r="D472" s="56" t="s">
        <v>9</v>
      </c>
      <c r="E472" s="56">
        <v>2020</v>
      </c>
      <c r="F472" s="56">
        <v>114.49</v>
      </c>
      <c r="G472" t="s">
        <v>232</v>
      </c>
      <c r="H472">
        <v>159.31</v>
      </c>
    </row>
    <row r="473" spans="1:8">
      <c r="A473" s="220">
        <v>43466</v>
      </c>
      <c r="B473" s="220">
        <v>43830</v>
      </c>
      <c r="C473" s="56" t="s">
        <v>5</v>
      </c>
      <c r="D473" s="56" t="s">
        <v>9</v>
      </c>
      <c r="E473" s="56">
        <v>2019</v>
      </c>
      <c r="F473" s="56">
        <v>1325.65</v>
      </c>
      <c r="G473" t="s">
        <v>232</v>
      </c>
      <c r="H473">
        <v>1725.93</v>
      </c>
    </row>
    <row r="474" spans="1:8">
      <c r="A474" s="220">
        <v>43466</v>
      </c>
      <c r="B474" s="220">
        <v>43830</v>
      </c>
      <c r="C474" s="56" t="s">
        <v>5</v>
      </c>
      <c r="D474" s="56" t="s">
        <v>9</v>
      </c>
      <c r="E474" s="56">
        <v>2019</v>
      </c>
      <c r="F474" s="56">
        <v>773.48</v>
      </c>
      <c r="G474" t="s">
        <v>232</v>
      </c>
      <c r="H474">
        <v>1007.04</v>
      </c>
    </row>
    <row r="475" spans="1:8">
      <c r="A475" s="220">
        <v>43831</v>
      </c>
      <c r="B475" s="220">
        <v>44196</v>
      </c>
      <c r="C475" s="56" t="s">
        <v>5</v>
      </c>
      <c r="D475" s="56" t="s">
        <v>9</v>
      </c>
      <c r="E475" s="56">
        <v>2020</v>
      </c>
      <c r="F475" s="56">
        <v>2164.71</v>
      </c>
      <c r="G475" t="s">
        <v>232</v>
      </c>
      <c r="H475">
        <v>3012.25</v>
      </c>
    </row>
    <row r="476" spans="1:8">
      <c r="A476" s="220">
        <v>43831</v>
      </c>
      <c r="B476" s="220">
        <v>44196</v>
      </c>
      <c r="C476" s="56" t="s">
        <v>5</v>
      </c>
      <c r="D476" s="56" t="s">
        <v>9</v>
      </c>
      <c r="E476" s="56">
        <v>2020</v>
      </c>
      <c r="F476" s="56">
        <v>525.44000000000005</v>
      </c>
      <c r="G476" t="s">
        <v>232</v>
      </c>
      <c r="H476">
        <v>731.16</v>
      </c>
    </row>
    <row r="477" spans="1:8">
      <c r="A477" s="220">
        <v>43466</v>
      </c>
      <c r="B477" s="220">
        <v>43830</v>
      </c>
      <c r="C477" s="56" t="s">
        <v>5</v>
      </c>
      <c r="D477" s="56" t="s">
        <v>9</v>
      </c>
      <c r="E477" s="56">
        <v>2019</v>
      </c>
      <c r="F477" s="56">
        <v>577.99</v>
      </c>
      <c r="G477" t="s">
        <v>232</v>
      </c>
      <c r="H477">
        <v>752.52</v>
      </c>
    </row>
    <row r="478" spans="1:8">
      <c r="A478" s="220">
        <v>43466</v>
      </c>
      <c r="B478" s="220">
        <v>43830</v>
      </c>
      <c r="C478" s="56" t="s">
        <v>5</v>
      </c>
      <c r="D478" s="56" t="s">
        <v>9</v>
      </c>
      <c r="E478" s="56">
        <v>2019</v>
      </c>
      <c r="F478" s="56">
        <v>2421.7399999999998</v>
      </c>
      <c r="G478" t="s">
        <v>232</v>
      </c>
      <c r="H478">
        <v>3153</v>
      </c>
    </row>
    <row r="479" spans="1:8">
      <c r="A479" s="220">
        <v>43831</v>
      </c>
      <c r="B479" s="220">
        <v>44196</v>
      </c>
      <c r="C479" s="56" t="s">
        <v>5</v>
      </c>
      <c r="D479" s="56" t="s">
        <v>9</v>
      </c>
      <c r="E479" s="56">
        <v>2020</v>
      </c>
      <c r="F479" s="56">
        <v>560.19000000000005</v>
      </c>
      <c r="G479" t="s">
        <v>232</v>
      </c>
      <c r="H479">
        <v>779.52</v>
      </c>
    </row>
    <row r="480" spans="1:8">
      <c r="A480" s="220">
        <v>43466</v>
      </c>
      <c r="B480" s="220">
        <v>43830</v>
      </c>
      <c r="C480" s="56" t="s">
        <v>5</v>
      </c>
      <c r="D480" s="56" t="s">
        <v>9</v>
      </c>
      <c r="E480" s="56">
        <v>2019</v>
      </c>
      <c r="F480" s="56">
        <v>656.06</v>
      </c>
      <c r="G480" t="s">
        <v>232</v>
      </c>
      <c r="H480">
        <v>854.16</v>
      </c>
    </row>
    <row r="481" spans="1:8">
      <c r="A481" s="220">
        <v>43466</v>
      </c>
      <c r="B481" s="220">
        <v>43830</v>
      </c>
      <c r="C481" s="56" t="s">
        <v>5</v>
      </c>
      <c r="D481" s="56" t="s">
        <v>9</v>
      </c>
      <c r="E481" s="56">
        <v>2019</v>
      </c>
      <c r="F481" s="56">
        <v>687.86</v>
      </c>
      <c r="G481" t="s">
        <v>232</v>
      </c>
      <c r="H481">
        <v>895.56</v>
      </c>
    </row>
    <row r="482" spans="1:8">
      <c r="A482" s="220">
        <v>43831</v>
      </c>
      <c r="B482" s="220">
        <v>44196</v>
      </c>
      <c r="C482" s="56" t="s">
        <v>5</v>
      </c>
      <c r="D482" s="56" t="s">
        <v>9</v>
      </c>
      <c r="E482" s="56">
        <v>2020</v>
      </c>
      <c r="F482" s="56">
        <v>998.19</v>
      </c>
      <c r="G482" t="s">
        <v>232</v>
      </c>
      <c r="H482">
        <v>1389</v>
      </c>
    </row>
    <row r="483" spans="1:8">
      <c r="A483" s="220">
        <v>43466</v>
      </c>
      <c r="B483" s="220">
        <v>43830</v>
      </c>
      <c r="C483" s="56" t="s">
        <v>5</v>
      </c>
      <c r="D483" s="56" t="s">
        <v>9</v>
      </c>
      <c r="E483" s="56">
        <v>2019</v>
      </c>
      <c r="F483" s="56">
        <v>797.72</v>
      </c>
      <c r="G483" t="s">
        <v>232</v>
      </c>
      <c r="H483">
        <v>1038.5999999999999</v>
      </c>
    </row>
    <row r="484" spans="1:8">
      <c r="A484" s="220">
        <v>43831</v>
      </c>
      <c r="B484" s="220">
        <v>44196</v>
      </c>
      <c r="C484" s="56" t="s">
        <v>5</v>
      </c>
      <c r="D484" s="56" t="s">
        <v>9</v>
      </c>
      <c r="E484" s="56">
        <v>2020</v>
      </c>
      <c r="F484" s="56">
        <v>2032.31</v>
      </c>
      <c r="G484" t="s">
        <v>232</v>
      </c>
      <c r="H484">
        <v>2828</v>
      </c>
    </row>
    <row r="485" spans="1:8">
      <c r="A485" s="220">
        <v>43831</v>
      </c>
      <c r="B485" s="220">
        <v>44196</v>
      </c>
      <c r="C485" s="56" t="s">
        <v>5</v>
      </c>
      <c r="D485" s="56" t="s">
        <v>9</v>
      </c>
      <c r="E485" s="56">
        <v>2020</v>
      </c>
      <c r="F485" s="56">
        <v>575.08000000000004</v>
      </c>
      <c r="G485" t="s">
        <v>232</v>
      </c>
      <c r="H485">
        <v>800.24</v>
      </c>
    </row>
    <row r="486" spans="1:8">
      <c r="A486" s="220">
        <v>43831</v>
      </c>
      <c r="B486" s="220">
        <v>44196</v>
      </c>
      <c r="C486" s="56" t="s">
        <v>5</v>
      </c>
      <c r="D486" s="56" t="s">
        <v>9</v>
      </c>
      <c r="E486" s="56">
        <v>2020</v>
      </c>
      <c r="F486" s="56">
        <v>862.62</v>
      </c>
      <c r="G486" t="s">
        <v>232</v>
      </c>
      <c r="H486">
        <v>1200.3599999999999</v>
      </c>
    </row>
    <row r="487" spans="1:8">
      <c r="A487" s="220">
        <v>43466</v>
      </c>
      <c r="B487" s="220">
        <v>43830</v>
      </c>
      <c r="C487" s="56" t="s">
        <v>5</v>
      </c>
      <c r="D487" s="56" t="s">
        <v>9</v>
      </c>
      <c r="E487" s="56">
        <v>2019</v>
      </c>
      <c r="F487" s="56">
        <v>2285.2199999999998</v>
      </c>
      <c r="G487" t="s">
        <v>232</v>
      </c>
      <c r="H487">
        <v>2975.25</v>
      </c>
    </row>
    <row r="488" spans="1:8">
      <c r="A488" s="220">
        <v>43831</v>
      </c>
      <c r="B488" s="220">
        <v>44196</v>
      </c>
      <c r="C488" s="56" t="s">
        <v>5</v>
      </c>
      <c r="D488" s="56" t="s">
        <v>9</v>
      </c>
      <c r="E488" s="56">
        <v>2020</v>
      </c>
      <c r="F488" s="56">
        <v>925.73</v>
      </c>
      <c r="G488" t="s">
        <v>232</v>
      </c>
      <c r="H488">
        <v>1288.17</v>
      </c>
    </row>
    <row r="489" spans="1:8">
      <c r="A489" s="220">
        <v>43466</v>
      </c>
      <c r="B489" s="220">
        <v>43830</v>
      </c>
      <c r="C489" s="56" t="s">
        <v>5</v>
      </c>
      <c r="D489" s="56" t="s">
        <v>9</v>
      </c>
      <c r="E489" s="56">
        <v>2019</v>
      </c>
      <c r="F489" s="56">
        <v>911.46</v>
      </c>
      <c r="G489" t="s">
        <v>232</v>
      </c>
      <c r="H489">
        <v>1186.68</v>
      </c>
    </row>
    <row r="490" spans="1:8">
      <c r="A490" s="220">
        <v>43831</v>
      </c>
      <c r="B490" s="220">
        <v>44196</v>
      </c>
      <c r="C490" s="56" t="s">
        <v>5</v>
      </c>
      <c r="D490" s="56" t="s">
        <v>9</v>
      </c>
      <c r="E490" s="56">
        <v>2020</v>
      </c>
      <c r="F490" s="56">
        <v>675.75</v>
      </c>
      <c r="G490" t="s">
        <v>232</v>
      </c>
      <c r="H490">
        <v>940.32</v>
      </c>
    </row>
    <row r="491" spans="1:8">
      <c r="A491" s="220">
        <v>43831</v>
      </c>
      <c r="B491" s="220">
        <v>44196</v>
      </c>
      <c r="C491" s="56" t="s">
        <v>5</v>
      </c>
      <c r="D491" s="56" t="s">
        <v>9</v>
      </c>
      <c r="E491" s="56">
        <v>2020</v>
      </c>
      <c r="F491" s="56">
        <v>3341.75</v>
      </c>
      <c r="G491" t="s">
        <v>232</v>
      </c>
      <c r="H491">
        <v>4650.12</v>
      </c>
    </row>
    <row r="492" spans="1:8">
      <c r="A492" s="220">
        <v>43466</v>
      </c>
      <c r="B492" s="220">
        <v>43830</v>
      </c>
      <c r="C492" s="56" t="s">
        <v>5</v>
      </c>
      <c r="D492" s="56" t="s">
        <v>9</v>
      </c>
      <c r="E492" s="56">
        <v>2019</v>
      </c>
      <c r="F492" s="56">
        <v>370.24</v>
      </c>
      <c r="G492" t="s">
        <v>232</v>
      </c>
      <c r="H492">
        <v>482.03</v>
      </c>
    </row>
    <row r="493" spans="1:8">
      <c r="A493" s="220">
        <v>43831</v>
      </c>
      <c r="B493" s="220">
        <v>44196</v>
      </c>
      <c r="C493" s="56" t="s">
        <v>5</v>
      </c>
      <c r="D493" s="56" t="s">
        <v>9</v>
      </c>
      <c r="E493" s="56">
        <v>2020</v>
      </c>
      <c r="F493" s="56">
        <v>44.17</v>
      </c>
      <c r="G493" t="s">
        <v>232</v>
      </c>
      <c r="H493">
        <v>61.46</v>
      </c>
    </row>
    <row r="494" spans="1:8">
      <c r="A494" s="220">
        <v>43466</v>
      </c>
      <c r="B494" s="220">
        <v>43830</v>
      </c>
      <c r="C494" s="56" t="s">
        <v>5</v>
      </c>
      <c r="D494" s="56" t="s">
        <v>9</v>
      </c>
      <c r="E494" s="56">
        <v>2019</v>
      </c>
      <c r="F494" s="56">
        <v>687.86</v>
      </c>
      <c r="G494" t="s">
        <v>232</v>
      </c>
      <c r="H494">
        <v>895.56</v>
      </c>
    </row>
    <row r="495" spans="1:8">
      <c r="A495" s="220">
        <v>43831</v>
      </c>
      <c r="B495" s="220">
        <v>44196</v>
      </c>
      <c r="C495" s="56" t="s">
        <v>5</v>
      </c>
      <c r="D495" s="56" t="s">
        <v>9</v>
      </c>
      <c r="E495" s="56">
        <v>2020</v>
      </c>
      <c r="F495" s="56">
        <v>404.97</v>
      </c>
      <c r="G495" t="s">
        <v>232</v>
      </c>
      <c r="H495">
        <v>563.52</v>
      </c>
    </row>
    <row r="496" spans="1:8">
      <c r="A496" s="220">
        <v>43466</v>
      </c>
      <c r="B496" s="220">
        <v>43830</v>
      </c>
      <c r="C496" s="56" t="s">
        <v>5</v>
      </c>
      <c r="D496" s="56" t="s">
        <v>9</v>
      </c>
      <c r="E496" s="56">
        <v>2019</v>
      </c>
      <c r="F496" s="56">
        <v>908.23</v>
      </c>
      <c r="G496" t="s">
        <v>232</v>
      </c>
      <c r="H496">
        <v>1182.48</v>
      </c>
    </row>
    <row r="497" spans="1:8">
      <c r="A497" s="220">
        <v>43831</v>
      </c>
      <c r="B497" s="220">
        <v>44196</v>
      </c>
      <c r="C497" s="56" t="s">
        <v>5</v>
      </c>
      <c r="D497" s="56" t="s">
        <v>9</v>
      </c>
      <c r="E497" s="56">
        <v>2020</v>
      </c>
      <c r="F497" s="56">
        <v>862.62</v>
      </c>
      <c r="G497" t="s">
        <v>232</v>
      </c>
      <c r="H497">
        <v>1200.3599999999999</v>
      </c>
    </row>
    <row r="498" spans="1:8">
      <c r="A498" s="220">
        <v>43466</v>
      </c>
      <c r="B498" s="220">
        <v>43830</v>
      </c>
      <c r="C498" s="56" t="s">
        <v>5</v>
      </c>
      <c r="D498" s="56" t="s">
        <v>9</v>
      </c>
      <c r="E498" s="56">
        <v>2019</v>
      </c>
      <c r="F498" s="56">
        <v>589.79</v>
      </c>
      <c r="G498" t="s">
        <v>232</v>
      </c>
      <c r="H498">
        <v>767.88</v>
      </c>
    </row>
    <row r="499" spans="1:8">
      <c r="A499" s="220">
        <v>43466</v>
      </c>
      <c r="B499" s="220">
        <v>43830</v>
      </c>
      <c r="C499" s="56" t="s">
        <v>5</v>
      </c>
      <c r="D499" s="56" t="s">
        <v>9</v>
      </c>
      <c r="E499" s="56">
        <v>2019</v>
      </c>
      <c r="F499" s="56">
        <v>1087.5999999999999</v>
      </c>
      <c r="G499" t="s">
        <v>232</v>
      </c>
      <c r="H499">
        <v>1416</v>
      </c>
    </row>
    <row r="500" spans="1:8">
      <c r="A500" s="220">
        <v>43831</v>
      </c>
      <c r="B500" s="220">
        <v>44196</v>
      </c>
      <c r="C500" s="56" t="s">
        <v>5</v>
      </c>
      <c r="D500" s="56" t="s">
        <v>9</v>
      </c>
      <c r="E500" s="56">
        <v>2020</v>
      </c>
      <c r="F500" s="56">
        <v>751.72</v>
      </c>
      <c r="G500" t="s">
        <v>232</v>
      </c>
      <c r="H500">
        <v>1046.04</v>
      </c>
    </row>
    <row r="501" spans="1:8">
      <c r="A501" s="220">
        <v>43466</v>
      </c>
      <c r="B501" s="220">
        <v>43830</v>
      </c>
      <c r="C501" s="56" t="s">
        <v>5</v>
      </c>
      <c r="D501" s="56" t="s">
        <v>9</v>
      </c>
      <c r="E501" s="56">
        <v>2019</v>
      </c>
      <c r="F501" s="56">
        <v>1471.02</v>
      </c>
      <c r="G501" t="s">
        <v>232</v>
      </c>
      <c r="H501">
        <v>1915.2</v>
      </c>
    </row>
    <row r="502" spans="1:8">
      <c r="A502" s="220">
        <v>43466</v>
      </c>
      <c r="B502" s="220">
        <v>43830</v>
      </c>
      <c r="C502" s="56" t="s">
        <v>5</v>
      </c>
      <c r="D502" s="56" t="s">
        <v>9</v>
      </c>
      <c r="E502" s="56">
        <v>2019</v>
      </c>
      <c r="F502" s="56">
        <v>484.63</v>
      </c>
      <c r="G502" t="s">
        <v>232</v>
      </c>
      <c r="H502">
        <v>630.96</v>
      </c>
    </row>
    <row r="503" spans="1:8">
      <c r="A503" s="220">
        <v>43831</v>
      </c>
      <c r="B503" s="220">
        <v>44196</v>
      </c>
      <c r="C503" s="56" t="s">
        <v>5</v>
      </c>
      <c r="D503" s="56" t="s">
        <v>9</v>
      </c>
      <c r="E503" s="56">
        <v>2020</v>
      </c>
      <c r="F503" s="56">
        <v>799.07</v>
      </c>
      <c r="G503" t="s">
        <v>232</v>
      </c>
      <c r="H503">
        <v>1111.92</v>
      </c>
    </row>
    <row r="504" spans="1:8">
      <c r="A504" s="220">
        <v>43466</v>
      </c>
      <c r="B504" s="220">
        <v>43830</v>
      </c>
      <c r="C504" s="56" t="s">
        <v>5</v>
      </c>
      <c r="D504" s="56" t="s">
        <v>9</v>
      </c>
      <c r="E504" s="56">
        <v>2019</v>
      </c>
      <c r="F504" s="56">
        <v>497.07</v>
      </c>
      <c r="G504" t="s">
        <v>232</v>
      </c>
      <c r="H504">
        <v>647.16</v>
      </c>
    </row>
    <row r="505" spans="1:8">
      <c r="A505" s="220">
        <v>43831</v>
      </c>
      <c r="B505" s="220">
        <v>44196</v>
      </c>
      <c r="C505" s="56" t="s">
        <v>5</v>
      </c>
      <c r="D505" s="56" t="s">
        <v>9</v>
      </c>
      <c r="E505" s="56">
        <v>2020</v>
      </c>
      <c r="F505" s="56">
        <v>2579.7199999999998</v>
      </c>
      <c r="G505" t="s">
        <v>232</v>
      </c>
      <c r="H505">
        <v>3589.74</v>
      </c>
    </row>
    <row r="506" spans="1:8">
      <c r="A506" s="220">
        <v>43831</v>
      </c>
      <c r="B506" s="220">
        <v>44196</v>
      </c>
      <c r="C506" s="56" t="s">
        <v>5</v>
      </c>
      <c r="D506" s="56" t="s">
        <v>9</v>
      </c>
      <c r="E506" s="56">
        <v>2020</v>
      </c>
      <c r="F506" s="56">
        <v>3234.84</v>
      </c>
      <c r="G506" t="s">
        <v>232</v>
      </c>
      <c r="H506">
        <v>4501.3500000000004</v>
      </c>
    </row>
    <row r="507" spans="1:8">
      <c r="A507" s="220">
        <v>43831</v>
      </c>
      <c r="B507" s="220">
        <v>44196</v>
      </c>
      <c r="C507" s="56" t="s">
        <v>5</v>
      </c>
      <c r="D507" s="56" t="s">
        <v>9</v>
      </c>
      <c r="E507" s="56">
        <v>2020</v>
      </c>
      <c r="F507" s="56">
        <v>2227.83</v>
      </c>
      <c r="G507" t="s">
        <v>232</v>
      </c>
      <c r="H507">
        <v>3100.08</v>
      </c>
    </row>
    <row r="508" spans="1:8">
      <c r="A508" s="220">
        <v>43831</v>
      </c>
      <c r="B508" s="220">
        <v>44196</v>
      </c>
      <c r="C508" s="56" t="s">
        <v>5</v>
      </c>
      <c r="D508" s="56" t="s">
        <v>9</v>
      </c>
      <c r="E508" s="56">
        <v>2020</v>
      </c>
      <c r="F508" s="56">
        <v>807.35</v>
      </c>
      <c r="G508" t="s">
        <v>232</v>
      </c>
      <c r="H508">
        <v>1123.44</v>
      </c>
    </row>
    <row r="509" spans="1:8">
      <c r="A509" s="220">
        <v>43466</v>
      </c>
      <c r="B509" s="220">
        <v>43830</v>
      </c>
      <c r="C509" s="56" t="s">
        <v>5</v>
      </c>
      <c r="D509" s="56" t="s">
        <v>9</v>
      </c>
      <c r="E509" s="56">
        <v>2019</v>
      </c>
      <c r="F509" s="56">
        <v>1468.44</v>
      </c>
      <c r="G509" t="s">
        <v>232</v>
      </c>
      <c r="H509">
        <v>1911.84</v>
      </c>
    </row>
    <row r="510" spans="1:8">
      <c r="A510" s="220">
        <v>43831</v>
      </c>
      <c r="B510" s="220">
        <v>44196</v>
      </c>
      <c r="C510" s="56" t="s">
        <v>5</v>
      </c>
      <c r="D510" s="56" t="s">
        <v>9</v>
      </c>
      <c r="E510" s="56">
        <v>2020</v>
      </c>
      <c r="F510" s="56">
        <v>452.91</v>
      </c>
      <c r="G510" t="s">
        <v>232</v>
      </c>
      <c r="H510">
        <v>630.24</v>
      </c>
    </row>
    <row r="511" spans="1:8">
      <c r="A511" s="220">
        <v>43466</v>
      </c>
      <c r="B511" s="220">
        <v>43830</v>
      </c>
      <c r="C511" s="56" t="s">
        <v>5</v>
      </c>
      <c r="D511" s="56" t="s">
        <v>9</v>
      </c>
      <c r="E511" s="56">
        <v>2019</v>
      </c>
      <c r="F511" s="56">
        <v>850.08</v>
      </c>
      <c r="G511" t="s">
        <v>232</v>
      </c>
      <c r="H511">
        <v>1106.76</v>
      </c>
    </row>
    <row r="512" spans="1:8">
      <c r="A512" s="220">
        <v>43466</v>
      </c>
      <c r="B512" s="220">
        <v>43830</v>
      </c>
      <c r="C512" s="56" t="s">
        <v>5</v>
      </c>
      <c r="D512" s="56" t="s">
        <v>9</v>
      </c>
      <c r="E512" s="56">
        <v>2019</v>
      </c>
      <c r="F512" s="56">
        <v>369.53</v>
      </c>
      <c r="G512" t="s">
        <v>232</v>
      </c>
      <c r="H512">
        <v>481.11</v>
      </c>
    </row>
    <row r="513" spans="1:8">
      <c r="A513" s="220">
        <v>43831</v>
      </c>
      <c r="B513" s="220">
        <v>44196</v>
      </c>
      <c r="C513" s="56" t="s">
        <v>5</v>
      </c>
      <c r="D513" s="56" t="s">
        <v>9</v>
      </c>
      <c r="E513" s="56">
        <v>2020</v>
      </c>
      <c r="F513" s="56">
        <v>1264.31</v>
      </c>
      <c r="G513" t="s">
        <v>232</v>
      </c>
      <c r="H513">
        <v>1759.32</v>
      </c>
    </row>
    <row r="514" spans="1:8">
      <c r="A514" s="220">
        <v>43831</v>
      </c>
      <c r="B514" s="220">
        <v>44196</v>
      </c>
      <c r="C514" s="56" t="s">
        <v>5</v>
      </c>
      <c r="D514" s="56" t="s">
        <v>9</v>
      </c>
      <c r="E514" s="56">
        <v>2020</v>
      </c>
      <c r="F514" s="56">
        <v>244.88</v>
      </c>
      <c r="G514" t="s">
        <v>232</v>
      </c>
      <c r="H514">
        <v>340.76</v>
      </c>
    </row>
    <row r="515" spans="1:8">
      <c r="A515" s="220">
        <v>43831</v>
      </c>
      <c r="B515" s="220">
        <v>44196</v>
      </c>
      <c r="C515" s="56" t="s">
        <v>5</v>
      </c>
      <c r="D515" s="56" t="s">
        <v>9</v>
      </c>
      <c r="E515" s="56">
        <v>2020</v>
      </c>
      <c r="F515" s="56">
        <v>6430.27</v>
      </c>
      <c r="G515" t="s">
        <v>232</v>
      </c>
      <c r="H515">
        <v>8947.8700000000008</v>
      </c>
    </row>
    <row r="516" spans="1:8">
      <c r="A516" s="220">
        <v>43466</v>
      </c>
      <c r="B516" s="220">
        <v>43830</v>
      </c>
      <c r="C516" s="56" t="s">
        <v>5</v>
      </c>
      <c r="D516" s="56" t="s">
        <v>9</v>
      </c>
      <c r="E516" s="56">
        <v>2019</v>
      </c>
      <c r="F516" s="56">
        <v>1172.8499999999999</v>
      </c>
      <c r="G516" t="s">
        <v>232</v>
      </c>
      <c r="H516">
        <v>1527</v>
      </c>
    </row>
    <row r="517" spans="1:8">
      <c r="A517" s="220">
        <v>43466</v>
      </c>
      <c r="B517" s="220">
        <v>43830</v>
      </c>
      <c r="C517" s="56" t="s">
        <v>5</v>
      </c>
      <c r="D517" s="56" t="s">
        <v>9</v>
      </c>
      <c r="E517" s="56">
        <v>2019</v>
      </c>
      <c r="F517" s="56">
        <v>1541.9</v>
      </c>
      <c r="G517" t="s">
        <v>232</v>
      </c>
      <c r="H517">
        <v>2007.48</v>
      </c>
    </row>
    <row r="518" spans="1:8">
      <c r="A518" s="220">
        <v>43831</v>
      </c>
      <c r="B518" s="220">
        <v>44196</v>
      </c>
      <c r="C518" s="56" t="s">
        <v>5</v>
      </c>
      <c r="D518" s="56" t="s">
        <v>9</v>
      </c>
      <c r="E518" s="56">
        <v>2020</v>
      </c>
      <c r="F518" s="56">
        <v>1113.92</v>
      </c>
      <c r="G518" t="s">
        <v>232</v>
      </c>
      <c r="H518">
        <v>1550.04</v>
      </c>
    </row>
    <row r="519" spans="1:8">
      <c r="A519" s="220">
        <v>43466</v>
      </c>
      <c r="B519" s="220">
        <v>43830</v>
      </c>
      <c r="C519" s="56" t="s">
        <v>5</v>
      </c>
      <c r="D519" s="56" t="s">
        <v>9</v>
      </c>
      <c r="E519" s="56">
        <v>2019</v>
      </c>
      <c r="F519" s="56">
        <v>626.29</v>
      </c>
      <c r="G519" t="s">
        <v>232</v>
      </c>
      <c r="H519">
        <v>815.4</v>
      </c>
    </row>
    <row r="520" spans="1:8">
      <c r="A520" s="220">
        <v>43831</v>
      </c>
      <c r="B520" s="220">
        <v>44196</v>
      </c>
      <c r="C520" s="56" t="s">
        <v>5</v>
      </c>
      <c r="D520" s="56" t="s">
        <v>9</v>
      </c>
      <c r="E520" s="56">
        <v>2020</v>
      </c>
      <c r="F520" s="56">
        <v>681.1</v>
      </c>
      <c r="G520" t="s">
        <v>232</v>
      </c>
      <c r="H520">
        <v>947.76</v>
      </c>
    </row>
    <row r="521" spans="1:8">
      <c r="A521" s="220">
        <v>43831</v>
      </c>
      <c r="B521" s="220">
        <v>44196</v>
      </c>
      <c r="C521" s="56" t="s">
        <v>5</v>
      </c>
      <c r="D521" s="56" t="s">
        <v>9</v>
      </c>
      <c r="E521" s="56">
        <v>2020</v>
      </c>
      <c r="F521" s="56">
        <v>1469.3</v>
      </c>
      <c r="G521" t="s">
        <v>232</v>
      </c>
      <c r="H521">
        <v>2044.56</v>
      </c>
    </row>
    <row r="522" spans="1:8">
      <c r="A522" s="220">
        <v>43466</v>
      </c>
      <c r="B522" s="220">
        <v>43830</v>
      </c>
      <c r="C522" s="56" t="s">
        <v>5</v>
      </c>
      <c r="D522" s="56" t="s">
        <v>9</v>
      </c>
      <c r="E522" s="56">
        <v>2019</v>
      </c>
      <c r="F522" s="56">
        <v>1370.83</v>
      </c>
      <c r="G522" t="s">
        <v>232</v>
      </c>
      <c r="H522">
        <v>1784.76</v>
      </c>
    </row>
    <row r="523" spans="1:8">
      <c r="A523" s="220">
        <v>43831</v>
      </c>
      <c r="B523" s="220">
        <v>44196</v>
      </c>
      <c r="C523" s="56" t="s">
        <v>5</v>
      </c>
      <c r="D523" s="56" t="s">
        <v>9</v>
      </c>
      <c r="E523" s="56">
        <v>2020</v>
      </c>
      <c r="F523" s="56">
        <v>516.47</v>
      </c>
      <c r="G523" t="s">
        <v>232</v>
      </c>
      <c r="H523">
        <v>718.68</v>
      </c>
    </row>
    <row r="524" spans="1:8">
      <c r="A524" s="220">
        <v>43831</v>
      </c>
      <c r="B524" s="220">
        <v>44196</v>
      </c>
      <c r="C524" s="56" t="s">
        <v>5</v>
      </c>
      <c r="D524" s="56" t="s">
        <v>9</v>
      </c>
      <c r="E524" s="56">
        <v>2020</v>
      </c>
      <c r="F524" s="56">
        <v>472.14</v>
      </c>
      <c r="G524" t="s">
        <v>232</v>
      </c>
      <c r="H524">
        <v>657</v>
      </c>
    </row>
    <row r="525" spans="1:8">
      <c r="A525" s="220">
        <v>43466</v>
      </c>
      <c r="B525" s="220">
        <v>43830</v>
      </c>
      <c r="C525" s="56" t="s">
        <v>5</v>
      </c>
      <c r="D525" s="56" t="s">
        <v>9</v>
      </c>
      <c r="E525" s="56">
        <v>2019</v>
      </c>
      <c r="F525" s="56">
        <v>871.55</v>
      </c>
      <c r="G525" t="s">
        <v>232</v>
      </c>
      <c r="H525">
        <v>1134.72</v>
      </c>
    </row>
    <row r="526" spans="1:8">
      <c r="A526" s="220">
        <v>43831</v>
      </c>
      <c r="B526" s="220">
        <v>44196</v>
      </c>
      <c r="C526" s="56" t="s">
        <v>5</v>
      </c>
      <c r="D526" s="56" t="s">
        <v>9</v>
      </c>
      <c r="E526" s="56">
        <v>2020</v>
      </c>
      <c r="F526" s="56">
        <v>862.62</v>
      </c>
      <c r="G526" t="s">
        <v>232</v>
      </c>
      <c r="H526">
        <v>1200.3599999999999</v>
      </c>
    </row>
    <row r="527" spans="1:8">
      <c r="A527" s="220">
        <v>43831</v>
      </c>
      <c r="B527" s="220">
        <v>44196</v>
      </c>
      <c r="C527" s="56" t="s">
        <v>5</v>
      </c>
      <c r="D527" s="56" t="s">
        <v>9</v>
      </c>
      <c r="E527" s="56">
        <v>2020</v>
      </c>
      <c r="F527" s="56">
        <v>2587.87</v>
      </c>
      <c r="G527" t="s">
        <v>232</v>
      </c>
      <c r="H527">
        <v>3601.08</v>
      </c>
    </row>
    <row r="528" spans="1:8">
      <c r="A528" s="220">
        <v>43466</v>
      </c>
      <c r="B528" s="220">
        <v>43830</v>
      </c>
      <c r="C528" s="56" t="s">
        <v>5</v>
      </c>
      <c r="D528" s="56" t="s">
        <v>9</v>
      </c>
      <c r="E528" s="56">
        <v>2019</v>
      </c>
      <c r="F528" s="56">
        <v>999.48</v>
      </c>
      <c r="G528" t="s">
        <v>232</v>
      </c>
      <c r="H528">
        <v>1301.28</v>
      </c>
    </row>
    <row r="529" spans="1:8">
      <c r="A529" s="220">
        <v>43831</v>
      </c>
      <c r="B529" s="220">
        <v>44196</v>
      </c>
      <c r="C529" s="56" t="s">
        <v>5</v>
      </c>
      <c r="D529" s="56" t="s">
        <v>9</v>
      </c>
      <c r="E529" s="56">
        <v>2020</v>
      </c>
      <c r="F529" s="56">
        <v>697.39</v>
      </c>
      <c r="G529" t="s">
        <v>232</v>
      </c>
      <c r="H529">
        <v>970.44</v>
      </c>
    </row>
    <row r="530" spans="1:8">
      <c r="A530" s="220">
        <v>43831</v>
      </c>
      <c r="B530" s="220">
        <v>44196</v>
      </c>
      <c r="C530" s="56" t="s">
        <v>5</v>
      </c>
      <c r="D530" s="56" t="s">
        <v>9</v>
      </c>
      <c r="E530" s="56">
        <v>2020</v>
      </c>
      <c r="F530" s="56">
        <v>2847.61</v>
      </c>
      <c r="G530" t="s">
        <v>232</v>
      </c>
      <c r="H530">
        <v>3962.52</v>
      </c>
    </row>
    <row r="531" spans="1:8">
      <c r="A531" s="220">
        <v>43466</v>
      </c>
      <c r="B531" s="220">
        <v>43830</v>
      </c>
      <c r="C531" s="56" t="s">
        <v>5</v>
      </c>
      <c r="D531" s="56" t="s">
        <v>9</v>
      </c>
      <c r="E531" s="56">
        <v>2019</v>
      </c>
      <c r="F531" s="56">
        <v>999.48</v>
      </c>
      <c r="G531" t="s">
        <v>232</v>
      </c>
      <c r="H531">
        <v>1301.28</v>
      </c>
    </row>
    <row r="532" spans="1:8">
      <c r="A532" s="220">
        <v>43831</v>
      </c>
      <c r="B532" s="220">
        <v>44196</v>
      </c>
      <c r="C532" s="56" t="s">
        <v>5</v>
      </c>
      <c r="D532" s="56" t="s">
        <v>9</v>
      </c>
      <c r="E532" s="56">
        <v>2020</v>
      </c>
      <c r="F532" s="56">
        <v>428.54</v>
      </c>
      <c r="G532" t="s">
        <v>232</v>
      </c>
      <c r="H532">
        <v>596.33000000000004</v>
      </c>
    </row>
    <row r="533" spans="1:8">
      <c r="A533" s="220">
        <v>43466</v>
      </c>
      <c r="B533" s="220">
        <v>43830</v>
      </c>
      <c r="C533" s="56" t="s">
        <v>5</v>
      </c>
      <c r="D533" s="56" t="s">
        <v>9</v>
      </c>
      <c r="E533" s="56">
        <v>2019</v>
      </c>
      <c r="F533" s="56">
        <v>999.48</v>
      </c>
      <c r="G533" t="s">
        <v>232</v>
      </c>
      <c r="H533">
        <v>1301.28</v>
      </c>
    </row>
    <row r="534" spans="1:8">
      <c r="A534" s="220">
        <v>43466</v>
      </c>
      <c r="B534" s="220">
        <v>43830</v>
      </c>
      <c r="C534" s="56" t="s">
        <v>5</v>
      </c>
      <c r="D534" s="56" t="s">
        <v>9</v>
      </c>
      <c r="E534" s="56">
        <v>2019</v>
      </c>
      <c r="F534" s="56">
        <v>773.48</v>
      </c>
      <c r="G534" t="s">
        <v>232</v>
      </c>
      <c r="H534">
        <v>1007.04</v>
      </c>
    </row>
    <row r="535" spans="1:8">
      <c r="A535" s="220">
        <v>43831</v>
      </c>
      <c r="B535" s="220">
        <v>44196</v>
      </c>
      <c r="C535" s="56" t="s">
        <v>5</v>
      </c>
      <c r="D535" s="56" t="s">
        <v>9</v>
      </c>
      <c r="E535" s="56">
        <v>2020</v>
      </c>
      <c r="F535" s="56">
        <v>1222.4000000000001</v>
      </c>
      <c r="G535" t="s">
        <v>232</v>
      </c>
      <c r="H535">
        <v>1701</v>
      </c>
    </row>
    <row r="536" spans="1:8">
      <c r="A536" s="220">
        <v>43831</v>
      </c>
      <c r="B536" s="220">
        <v>44196</v>
      </c>
      <c r="C536" s="56" t="s">
        <v>5</v>
      </c>
      <c r="D536" s="56" t="s">
        <v>9</v>
      </c>
      <c r="E536" s="56">
        <v>2020</v>
      </c>
      <c r="F536" s="56">
        <v>3796.82</v>
      </c>
      <c r="G536" t="s">
        <v>232</v>
      </c>
      <c r="H536">
        <v>5283.36</v>
      </c>
    </row>
    <row r="537" spans="1:8">
      <c r="A537" s="220">
        <v>43831</v>
      </c>
      <c r="B537" s="220">
        <v>44196</v>
      </c>
      <c r="C537" s="56" t="s">
        <v>5</v>
      </c>
      <c r="D537" s="56" t="s">
        <v>9</v>
      </c>
      <c r="E537" s="56">
        <v>2020</v>
      </c>
      <c r="F537" s="56">
        <v>364.18</v>
      </c>
      <c r="G537" t="s">
        <v>232</v>
      </c>
      <c r="H537">
        <v>506.76</v>
      </c>
    </row>
    <row r="538" spans="1:8">
      <c r="A538" s="220">
        <v>43466</v>
      </c>
      <c r="B538" s="220">
        <v>43830</v>
      </c>
      <c r="C538" s="56" t="s">
        <v>5</v>
      </c>
      <c r="D538" s="56" t="s">
        <v>9</v>
      </c>
      <c r="E538" s="56">
        <v>2019</v>
      </c>
      <c r="F538" s="56">
        <v>2550.23</v>
      </c>
      <c r="G538" t="s">
        <v>232</v>
      </c>
      <c r="H538">
        <v>3320.28</v>
      </c>
    </row>
    <row r="539" spans="1:8">
      <c r="A539" s="220">
        <v>43466</v>
      </c>
      <c r="B539" s="220">
        <v>43830</v>
      </c>
      <c r="C539" s="56" t="s">
        <v>5</v>
      </c>
      <c r="D539" s="56" t="s">
        <v>9</v>
      </c>
      <c r="E539" s="56">
        <v>2019</v>
      </c>
      <c r="F539" s="56">
        <v>1367.73</v>
      </c>
      <c r="G539" t="s">
        <v>232</v>
      </c>
      <c r="H539">
        <v>1780.72</v>
      </c>
    </row>
    <row r="540" spans="1:8">
      <c r="A540" s="220">
        <v>43466</v>
      </c>
      <c r="B540" s="220">
        <v>43830</v>
      </c>
      <c r="C540" s="56" t="s">
        <v>5</v>
      </c>
      <c r="D540" s="56" t="s">
        <v>9</v>
      </c>
      <c r="E540" s="56">
        <v>2019</v>
      </c>
      <c r="F540" s="56">
        <v>1724.39</v>
      </c>
      <c r="G540" t="s">
        <v>232</v>
      </c>
      <c r="H540">
        <v>2245.08</v>
      </c>
    </row>
    <row r="541" spans="1:8">
      <c r="A541" s="220">
        <v>43466</v>
      </c>
      <c r="B541" s="220">
        <v>43830</v>
      </c>
      <c r="C541" s="56" t="s">
        <v>5</v>
      </c>
      <c r="D541" s="56" t="s">
        <v>9</v>
      </c>
      <c r="E541" s="56">
        <v>2019</v>
      </c>
      <c r="F541" s="56">
        <v>224.54</v>
      </c>
      <c r="G541" t="s">
        <v>232</v>
      </c>
      <c r="H541">
        <v>292.33999999999997</v>
      </c>
    </row>
    <row r="542" spans="1:8">
      <c r="A542" s="220">
        <v>43466</v>
      </c>
      <c r="B542" s="220">
        <v>43830</v>
      </c>
      <c r="C542" s="56" t="s">
        <v>5</v>
      </c>
      <c r="D542" s="56" t="s">
        <v>9</v>
      </c>
      <c r="E542" s="56">
        <v>2019</v>
      </c>
      <c r="F542" s="56">
        <v>589.79</v>
      </c>
      <c r="G542" t="s">
        <v>232</v>
      </c>
      <c r="H542">
        <v>767.88</v>
      </c>
    </row>
    <row r="543" spans="1:8">
      <c r="A543" s="220">
        <v>43831</v>
      </c>
      <c r="B543" s="220">
        <v>44196</v>
      </c>
      <c r="C543" s="56" t="s">
        <v>5</v>
      </c>
      <c r="D543" s="56" t="s">
        <v>9</v>
      </c>
      <c r="E543" s="56">
        <v>2020</v>
      </c>
      <c r="F543" s="56">
        <v>1873.66</v>
      </c>
      <c r="G543" t="s">
        <v>232</v>
      </c>
      <c r="H543">
        <v>2607.2399999999998</v>
      </c>
    </row>
    <row r="544" spans="1:8">
      <c r="A544" s="220">
        <v>43831</v>
      </c>
      <c r="B544" s="220">
        <v>44196</v>
      </c>
      <c r="C544" s="56" t="s">
        <v>5</v>
      </c>
      <c r="D544" s="56" t="s">
        <v>9</v>
      </c>
      <c r="E544" s="56">
        <v>2020</v>
      </c>
      <c r="F544" s="56">
        <v>5030.8</v>
      </c>
      <c r="G544" t="s">
        <v>232</v>
      </c>
      <c r="H544">
        <v>7000.48</v>
      </c>
    </row>
    <row r="545" spans="1:8">
      <c r="A545" s="220">
        <v>43466</v>
      </c>
      <c r="B545" s="220">
        <v>43830</v>
      </c>
      <c r="C545" s="56" t="s">
        <v>5</v>
      </c>
      <c r="D545" s="56" t="s">
        <v>9</v>
      </c>
      <c r="E545" s="56">
        <v>2019</v>
      </c>
      <c r="F545" s="56">
        <v>1487.63</v>
      </c>
      <c r="G545" t="s">
        <v>232</v>
      </c>
      <c r="H545">
        <v>1936.83</v>
      </c>
    </row>
    <row r="546" spans="1:8">
      <c r="A546" s="220">
        <v>43831</v>
      </c>
      <c r="B546" s="220">
        <v>44196</v>
      </c>
      <c r="C546" s="56" t="s">
        <v>5</v>
      </c>
      <c r="D546" s="56" t="s">
        <v>9</v>
      </c>
      <c r="E546" s="56">
        <v>2020</v>
      </c>
      <c r="F546" s="56">
        <v>335.47</v>
      </c>
      <c r="G546" t="s">
        <v>232</v>
      </c>
      <c r="H546">
        <v>466.82</v>
      </c>
    </row>
    <row r="547" spans="1:8">
      <c r="A547" s="220">
        <v>43831</v>
      </c>
      <c r="B547" s="220">
        <v>44196</v>
      </c>
      <c r="C547" s="56" t="s">
        <v>5</v>
      </c>
      <c r="D547" s="56" t="s">
        <v>9</v>
      </c>
      <c r="E547" s="56">
        <v>2020</v>
      </c>
      <c r="F547" s="56">
        <v>553.70000000000005</v>
      </c>
      <c r="G547" t="s">
        <v>232</v>
      </c>
      <c r="H547">
        <v>770.49</v>
      </c>
    </row>
    <row r="548" spans="1:8">
      <c r="A548" s="220">
        <v>43831</v>
      </c>
      <c r="B548" s="220">
        <v>44196</v>
      </c>
      <c r="C548" s="56" t="s">
        <v>5</v>
      </c>
      <c r="D548" s="56" t="s">
        <v>9</v>
      </c>
      <c r="E548" s="56">
        <v>2020</v>
      </c>
      <c r="F548" s="56">
        <v>325.45999999999998</v>
      </c>
      <c r="G548" t="s">
        <v>232</v>
      </c>
      <c r="H548">
        <v>452.88</v>
      </c>
    </row>
    <row r="549" spans="1:8">
      <c r="A549" s="220">
        <v>43831</v>
      </c>
      <c r="B549" s="220">
        <v>44196</v>
      </c>
      <c r="C549" s="56" t="s">
        <v>5</v>
      </c>
      <c r="D549" s="56" t="s">
        <v>9</v>
      </c>
      <c r="E549" s="56">
        <v>2020</v>
      </c>
      <c r="F549" s="56">
        <v>857.09</v>
      </c>
      <c r="G549" t="s">
        <v>232</v>
      </c>
      <c r="H549">
        <v>1192.6600000000001</v>
      </c>
    </row>
    <row r="550" spans="1:8">
      <c r="A550" s="220">
        <v>43831</v>
      </c>
      <c r="B550" s="220">
        <v>44196</v>
      </c>
      <c r="C550" s="56" t="s">
        <v>5</v>
      </c>
      <c r="D550" s="56" t="s">
        <v>9</v>
      </c>
      <c r="E550" s="56">
        <v>2020</v>
      </c>
      <c r="F550" s="56">
        <v>530.01</v>
      </c>
      <c r="G550" t="s">
        <v>232</v>
      </c>
      <c r="H550">
        <v>737.52</v>
      </c>
    </row>
    <row r="551" spans="1:8">
      <c r="A551" s="220">
        <v>43466</v>
      </c>
      <c r="B551" s="220">
        <v>43830</v>
      </c>
      <c r="C551" s="56" t="s">
        <v>5</v>
      </c>
      <c r="D551" s="56" t="s">
        <v>9</v>
      </c>
      <c r="E551" s="56">
        <v>2019</v>
      </c>
      <c r="F551" s="56">
        <v>871.55</v>
      </c>
      <c r="G551" t="s">
        <v>232</v>
      </c>
      <c r="H551">
        <v>1134.72</v>
      </c>
    </row>
    <row r="552" spans="1:8">
      <c r="A552" s="220">
        <v>43466</v>
      </c>
      <c r="B552" s="220">
        <v>43830</v>
      </c>
      <c r="C552" s="56" t="s">
        <v>5</v>
      </c>
      <c r="D552" s="56" t="s">
        <v>9</v>
      </c>
      <c r="E552" s="56">
        <v>2019</v>
      </c>
      <c r="F552" s="56">
        <v>6477.39</v>
      </c>
      <c r="G552" t="s">
        <v>232</v>
      </c>
      <c r="H552">
        <v>8433.27</v>
      </c>
    </row>
    <row r="553" spans="1:8">
      <c r="A553" s="220">
        <v>43831</v>
      </c>
      <c r="B553" s="220">
        <v>44196</v>
      </c>
      <c r="C553" s="56" t="s">
        <v>5</v>
      </c>
      <c r="D553" s="56" t="s">
        <v>9</v>
      </c>
      <c r="E553" s="56">
        <v>2020</v>
      </c>
      <c r="F553" s="56">
        <v>1167.07</v>
      </c>
      <c r="G553" t="s">
        <v>232</v>
      </c>
      <c r="H553">
        <v>1624</v>
      </c>
    </row>
    <row r="554" spans="1:8">
      <c r="A554" s="220">
        <v>43466</v>
      </c>
      <c r="B554" s="220">
        <v>43830</v>
      </c>
      <c r="C554" s="56" t="s">
        <v>5</v>
      </c>
      <c r="D554" s="56" t="s">
        <v>9</v>
      </c>
      <c r="E554" s="56">
        <v>2019</v>
      </c>
      <c r="F554" s="56">
        <v>999.48</v>
      </c>
      <c r="G554" t="s">
        <v>232</v>
      </c>
      <c r="H554">
        <v>1301.28</v>
      </c>
    </row>
    <row r="555" spans="1:8">
      <c r="A555" s="220">
        <v>43466</v>
      </c>
      <c r="B555" s="220">
        <v>43830</v>
      </c>
      <c r="C555" s="56" t="s">
        <v>5</v>
      </c>
      <c r="D555" s="56" t="s">
        <v>9</v>
      </c>
      <c r="E555" s="56">
        <v>2019</v>
      </c>
      <c r="F555" s="56">
        <v>558.08000000000004</v>
      </c>
      <c r="G555" t="s">
        <v>232</v>
      </c>
      <c r="H555">
        <v>726.6</v>
      </c>
    </row>
    <row r="556" spans="1:8">
      <c r="A556" s="220">
        <v>43831</v>
      </c>
      <c r="B556" s="220">
        <v>44196</v>
      </c>
      <c r="C556" s="56" t="s">
        <v>5</v>
      </c>
      <c r="D556" s="56" t="s">
        <v>9</v>
      </c>
      <c r="E556" s="56">
        <v>2020</v>
      </c>
      <c r="F556" s="56">
        <v>203.68</v>
      </c>
      <c r="G556" t="s">
        <v>232</v>
      </c>
      <c r="H556">
        <v>283.42</v>
      </c>
    </row>
    <row r="557" spans="1:8">
      <c r="A557" s="220">
        <v>43831</v>
      </c>
      <c r="B557" s="220">
        <v>44196</v>
      </c>
      <c r="C557" s="56" t="s">
        <v>5</v>
      </c>
      <c r="D557" s="56" t="s">
        <v>9</v>
      </c>
      <c r="E557" s="56">
        <v>2020</v>
      </c>
      <c r="F557" s="56">
        <v>949.2</v>
      </c>
      <c r="G557" t="s">
        <v>232</v>
      </c>
      <c r="H557">
        <v>1320.84</v>
      </c>
    </row>
    <row r="558" spans="1:8">
      <c r="A558" s="220">
        <v>43466</v>
      </c>
      <c r="B558" s="220">
        <v>43830</v>
      </c>
      <c r="C558" s="56" t="s">
        <v>5</v>
      </c>
      <c r="D558" s="56" t="s">
        <v>9</v>
      </c>
      <c r="E558" s="56">
        <v>2019</v>
      </c>
      <c r="F558" s="56">
        <v>3734.43</v>
      </c>
      <c r="G558" t="s">
        <v>232</v>
      </c>
      <c r="H558">
        <v>4862.05</v>
      </c>
    </row>
    <row r="559" spans="1:8">
      <c r="A559" s="220">
        <v>43831</v>
      </c>
      <c r="B559" s="220">
        <v>44196</v>
      </c>
      <c r="C559" s="56" t="s">
        <v>5</v>
      </c>
      <c r="D559" s="56" t="s">
        <v>9</v>
      </c>
      <c r="E559" s="56">
        <v>2020</v>
      </c>
      <c r="F559" s="56">
        <v>3298.18</v>
      </c>
      <c r="G559" t="s">
        <v>232</v>
      </c>
      <c r="H559">
        <v>4589.5</v>
      </c>
    </row>
    <row r="560" spans="1:8">
      <c r="A560" s="220">
        <v>43466</v>
      </c>
      <c r="B560" s="220">
        <v>43830</v>
      </c>
      <c r="C560" s="56" t="s">
        <v>5</v>
      </c>
      <c r="D560" s="56" t="s">
        <v>9</v>
      </c>
      <c r="E560" s="56">
        <v>2019</v>
      </c>
      <c r="F560" s="56">
        <v>1019.76</v>
      </c>
      <c r="G560" t="s">
        <v>232</v>
      </c>
      <c r="H560">
        <v>1327.68</v>
      </c>
    </row>
    <row r="561" spans="1:8">
      <c r="A561" s="220">
        <v>43466</v>
      </c>
      <c r="B561" s="220">
        <v>43830</v>
      </c>
      <c r="C561" s="56" t="s">
        <v>5</v>
      </c>
      <c r="D561" s="56" t="s">
        <v>9</v>
      </c>
      <c r="E561" s="56">
        <v>2019</v>
      </c>
      <c r="F561" s="56">
        <v>791.55</v>
      </c>
      <c r="G561" t="s">
        <v>232</v>
      </c>
      <c r="H561">
        <v>1030.56</v>
      </c>
    </row>
    <row r="562" spans="1:8">
      <c r="A562" s="220">
        <v>43466</v>
      </c>
      <c r="B562" s="220">
        <v>43830</v>
      </c>
      <c r="C562" s="56" t="s">
        <v>5</v>
      </c>
      <c r="D562" s="56" t="s">
        <v>9</v>
      </c>
      <c r="E562" s="56">
        <v>2019</v>
      </c>
      <c r="F562" s="56">
        <v>558.08000000000004</v>
      </c>
      <c r="G562" t="s">
        <v>232</v>
      </c>
      <c r="H562">
        <v>726.6</v>
      </c>
    </row>
    <row r="563" spans="1:8">
      <c r="A563" s="220">
        <v>43466</v>
      </c>
      <c r="B563" s="220">
        <v>43830</v>
      </c>
      <c r="C563" s="56" t="s">
        <v>5</v>
      </c>
      <c r="D563" s="56" t="s">
        <v>9</v>
      </c>
      <c r="E563" s="56">
        <v>2019</v>
      </c>
      <c r="F563" s="56">
        <v>773.48</v>
      </c>
      <c r="G563" t="s">
        <v>232</v>
      </c>
      <c r="H563">
        <v>1007.04</v>
      </c>
    </row>
    <row r="564" spans="1:8">
      <c r="A564" s="220">
        <v>43466</v>
      </c>
      <c r="B564" s="220">
        <v>43830</v>
      </c>
      <c r="C564" s="56" t="s">
        <v>5</v>
      </c>
      <c r="D564" s="56" t="s">
        <v>9</v>
      </c>
      <c r="E564" s="56">
        <v>2019</v>
      </c>
      <c r="F564" s="56">
        <v>507.35</v>
      </c>
      <c r="G564" t="s">
        <v>232</v>
      </c>
      <c r="H564">
        <v>660.55</v>
      </c>
    </row>
    <row r="565" spans="1:8">
      <c r="A565" s="220">
        <v>43831</v>
      </c>
      <c r="B565" s="220">
        <v>44196</v>
      </c>
      <c r="C565" s="56" t="s">
        <v>5</v>
      </c>
      <c r="D565" s="56" t="s">
        <v>9</v>
      </c>
      <c r="E565" s="56">
        <v>2020</v>
      </c>
      <c r="F565" s="56">
        <v>1278.3</v>
      </c>
      <c r="G565" t="s">
        <v>232</v>
      </c>
      <c r="H565">
        <v>1778.78</v>
      </c>
    </row>
    <row r="566" spans="1:8">
      <c r="A566" s="220">
        <v>43831</v>
      </c>
      <c r="B566" s="220">
        <v>44196</v>
      </c>
      <c r="C566" s="56" t="s">
        <v>5</v>
      </c>
      <c r="D566" s="56" t="s">
        <v>9</v>
      </c>
      <c r="E566" s="56">
        <v>2020</v>
      </c>
      <c r="F566" s="56">
        <v>118.94</v>
      </c>
      <c r="G566" t="s">
        <v>232</v>
      </c>
      <c r="H566">
        <v>165.51</v>
      </c>
    </row>
    <row r="567" spans="1:8">
      <c r="A567" s="220">
        <v>43466</v>
      </c>
      <c r="B567" s="220">
        <v>43830</v>
      </c>
      <c r="C567" s="56" t="s">
        <v>5</v>
      </c>
      <c r="D567" s="56" t="s">
        <v>9</v>
      </c>
      <c r="E567" s="56">
        <v>2019</v>
      </c>
      <c r="F567" s="56">
        <v>908.23</v>
      </c>
      <c r="G567" t="s">
        <v>232</v>
      </c>
      <c r="H567">
        <v>1182.48</v>
      </c>
    </row>
    <row r="568" spans="1:8">
      <c r="A568" s="220">
        <v>43466</v>
      </c>
      <c r="B568" s="220">
        <v>43830</v>
      </c>
      <c r="C568" s="56" t="s">
        <v>5</v>
      </c>
      <c r="D568" s="56" t="s">
        <v>9</v>
      </c>
      <c r="E568" s="56">
        <v>2019</v>
      </c>
      <c r="F568" s="56">
        <v>1682.64</v>
      </c>
      <c r="G568" t="s">
        <v>232</v>
      </c>
      <c r="H568">
        <v>2190.7199999999998</v>
      </c>
    </row>
    <row r="569" spans="1:8">
      <c r="A569" s="220">
        <v>43831</v>
      </c>
      <c r="B569" s="220">
        <v>44196</v>
      </c>
      <c r="C569" s="56" t="s">
        <v>5</v>
      </c>
      <c r="D569" s="56" t="s">
        <v>9</v>
      </c>
      <c r="E569" s="56">
        <v>2020</v>
      </c>
      <c r="F569" s="56">
        <v>723.7</v>
      </c>
      <c r="G569" t="s">
        <v>232</v>
      </c>
      <c r="H569">
        <v>1007.04</v>
      </c>
    </row>
    <row r="570" spans="1:8">
      <c r="A570" s="220">
        <v>43831</v>
      </c>
      <c r="B570" s="220">
        <v>44196</v>
      </c>
      <c r="C570" s="56" t="s">
        <v>5</v>
      </c>
      <c r="D570" s="56" t="s">
        <v>9</v>
      </c>
      <c r="E570" s="56">
        <v>2020</v>
      </c>
      <c r="F570" s="56">
        <v>452.91</v>
      </c>
      <c r="G570" t="s">
        <v>232</v>
      </c>
      <c r="H570">
        <v>630.24</v>
      </c>
    </row>
    <row r="571" spans="1:8">
      <c r="A571" s="220">
        <v>43466</v>
      </c>
      <c r="B571" s="220">
        <v>43830</v>
      </c>
      <c r="C571" s="56" t="s">
        <v>5</v>
      </c>
      <c r="D571" s="56" t="s">
        <v>9</v>
      </c>
      <c r="E571" s="56">
        <v>2019</v>
      </c>
      <c r="F571" s="56">
        <v>3981.93</v>
      </c>
      <c r="G571" t="s">
        <v>232</v>
      </c>
      <c r="H571">
        <v>5184.29</v>
      </c>
    </row>
    <row r="572" spans="1:8">
      <c r="A572" s="220">
        <v>43466</v>
      </c>
      <c r="B572" s="220">
        <v>43830</v>
      </c>
      <c r="C572" s="56" t="s">
        <v>5</v>
      </c>
      <c r="D572" s="56" t="s">
        <v>9</v>
      </c>
      <c r="E572" s="56">
        <v>2019</v>
      </c>
      <c r="F572" s="56">
        <v>988.29</v>
      </c>
      <c r="G572" t="s">
        <v>232</v>
      </c>
      <c r="H572">
        <v>1286.71</v>
      </c>
    </row>
    <row r="573" spans="1:8">
      <c r="A573" s="220">
        <v>43831</v>
      </c>
      <c r="B573" s="220">
        <v>44196</v>
      </c>
      <c r="C573" s="56" t="s">
        <v>5</v>
      </c>
      <c r="D573" s="56" t="s">
        <v>9</v>
      </c>
      <c r="E573" s="56">
        <v>2020</v>
      </c>
      <c r="F573" s="56">
        <v>1420.29</v>
      </c>
      <c r="G573" t="s">
        <v>232</v>
      </c>
      <c r="H573">
        <v>1976.37</v>
      </c>
    </row>
    <row r="574" spans="1:8">
      <c r="A574" s="220">
        <v>43831</v>
      </c>
      <c r="B574" s="220">
        <v>44196</v>
      </c>
      <c r="C574" s="56" t="s">
        <v>5</v>
      </c>
      <c r="D574" s="56" t="s">
        <v>9</v>
      </c>
      <c r="E574" s="56">
        <v>2020</v>
      </c>
      <c r="F574" s="56">
        <v>317.18</v>
      </c>
      <c r="G574" t="s">
        <v>232</v>
      </c>
      <c r="H574">
        <v>441.36</v>
      </c>
    </row>
    <row r="575" spans="1:8">
      <c r="A575" s="220">
        <v>43466</v>
      </c>
      <c r="B575" s="220">
        <v>43830</v>
      </c>
      <c r="C575" s="56" t="s">
        <v>5</v>
      </c>
      <c r="D575" s="56" t="s">
        <v>9</v>
      </c>
      <c r="E575" s="56">
        <v>2019</v>
      </c>
      <c r="F575" s="56">
        <v>1724.39</v>
      </c>
      <c r="G575" t="s">
        <v>232</v>
      </c>
      <c r="H575">
        <v>2245.08</v>
      </c>
    </row>
    <row r="576" spans="1:8">
      <c r="A576" s="220">
        <v>43831</v>
      </c>
      <c r="B576" s="220">
        <v>44196</v>
      </c>
      <c r="C576" s="56" t="s">
        <v>5</v>
      </c>
      <c r="D576" s="56" t="s">
        <v>9</v>
      </c>
      <c r="E576" s="56">
        <v>2020</v>
      </c>
      <c r="F576" s="56">
        <v>681.1</v>
      </c>
      <c r="G576" t="s">
        <v>232</v>
      </c>
      <c r="H576">
        <v>947.76</v>
      </c>
    </row>
    <row r="577" spans="1:8">
      <c r="A577" s="220">
        <v>43466</v>
      </c>
      <c r="B577" s="220">
        <v>43830</v>
      </c>
      <c r="C577" s="56" t="s">
        <v>5</v>
      </c>
      <c r="D577" s="56" t="s">
        <v>9</v>
      </c>
      <c r="E577" s="56">
        <v>2019</v>
      </c>
      <c r="F577" s="56">
        <v>584.54</v>
      </c>
      <c r="G577" t="s">
        <v>232</v>
      </c>
      <c r="H577">
        <v>761.04</v>
      </c>
    </row>
    <row r="578" spans="1:8">
      <c r="A578" s="220">
        <v>43466</v>
      </c>
      <c r="B578" s="220">
        <v>43830</v>
      </c>
      <c r="C578" s="56" t="s">
        <v>5</v>
      </c>
      <c r="D578" s="56" t="s">
        <v>9</v>
      </c>
      <c r="E578" s="56">
        <v>2019</v>
      </c>
      <c r="F578" s="56">
        <v>577.99</v>
      </c>
      <c r="G578" t="s">
        <v>232</v>
      </c>
      <c r="H578">
        <v>752.52</v>
      </c>
    </row>
    <row r="579" spans="1:8">
      <c r="A579" s="220">
        <v>43466</v>
      </c>
      <c r="B579" s="220">
        <v>43830</v>
      </c>
      <c r="C579" s="56" t="s">
        <v>5</v>
      </c>
      <c r="D579" s="56" t="s">
        <v>9</v>
      </c>
      <c r="E579" s="56">
        <v>2019</v>
      </c>
      <c r="F579" s="56">
        <v>574.64</v>
      </c>
      <c r="G579" t="s">
        <v>232</v>
      </c>
      <c r="H579">
        <v>748.16</v>
      </c>
    </row>
    <row r="580" spans="1:8">
      <c r="A580" s="220">
        <v>43831</v>
      </c>
      <c r="B580" s="220">
        <v>44196</v>
      </c>
      <c r="C580" s="56" t="s">
        <v>5</v>
      </c>
      <c r="D580" s="56" t="s">
        <v>9</v>
      </c>
      <c r="E580" s="56">
        <v>2020</v>
      </c>
      <c r="F580" s="56">
        <v>57.35</v>
      </c>
      <c r="G580" t="s">
        <v>232</v>
      </c>
      <c r="H580">
        <v>79.8</v>
      </c>
    </row>
    <row r="581" spans="1:8">
      <c r="A581" s="220">
        <v>43466</v>
      </c>
      <c r="B581" s="220">
        <v>43830</v>
      </c>
      <c r="C581" s="56" t="s">
        <v>5</v>
      </c>
      <c r="D581" s="56" t="s">
        <v>9</v>
      </c>
      <c r="E581" s="56">
        <v>2019</v>
      </c>
      <c r="F581" s="56">
        <v>1965.97</v>
      </c>
      <c r="G581" t="s">
        <v>232</v>
      </c>
      <c r="H581">
        <v>2559.6</v>
      </c>
    </row>
    <row r="582" spans="1:8">
      <c r="A582" s="220">
        <v>43466</v>
      </c>
      <c r="B582" s="220">
        <v>43830</v>
      </c>
      <c r="C582" s="56" t="s">
        <v>5</v>
      </c>
      <c r="D582" s="56" t="s">
        <v>9</v>
      </c>
      <c r="E582" s="56">
        <v>2019</v>
      </c>
      <c r="F582" s="56">
        <v>2337.71</v>
      </c>
      <c r="G582" t="s">
        <v>232</v>
      </c>
      <c r="H582">
        <v>3043.59</v>
      </c>
    </row>
    <row r="583" spans="1:8">
      <c r="A583" s="220">
        <v>43466</v>
      </c>
      <c r="B583" s="220">
        <v>43830</v>
      </c>
      <c r="C583" s="56" t="s">
        <v>5</v>
      </c>
      <c r="D583" s="56" t="s">
        <v>9</v>
      </c>
      <c r="E583" s="56">
        <v>2019</v>
      </c>
      <c r="F583" s="56">
        <v>626.29</v>
      </c>
      <c r="G583" t="s">
        <v>232</v>
      </c>
      <c r="H583">
        <v>815.4</v>
      </c>
    </row>
    <row r="584" spans="1:8">
      <c r="A584" s="220">
        <v>43831</v>
      </c>
      <c r="B584" s="220">
        <v>44196</v>
      </c>
      <c r="C584" s="56" t="s">
        <v>5</v>
      </c>
      <c r="D584" s="56" t="s">
        <v>9</v>
      </c>
      <c r="E584" s="56">
        <v>2020</v>
      </c>
      <c r="F584" s="56">
        <v>1614.69</v>
      </c>
      <c r="G584" t="s">
        <v>232</v>
      </c>
      <c r="H584">
        <v>2246.88</v>
      </c>
    </row>
    <row r="585" spans="1:8">
      <c r="A585" s="220">
        <v>43466</v>
      </c>
      <c r="B585" s="220">
        <v>43830</v>
      </c>
      <c r="C585" s="56" t="s">
        <v>5</v>
      </c>
      <c r="D585" s="56" t="s">
        <v>9</v>
      </c>
      <c r="E585" s="56">
        <v>2019</v>
      </c>
      <c r="F585" s="56">
        <v>543.79999999999995</v>
      </c>
      <c r="G585" t="s">
        <v>232</v>
      </c>
      <c r="H585">
        <v>708</v>
      </c>
    </row>
    <row r="586" spans="1:8">
      <c r="A586" s="220">
        <v>43466</v>
      </c>
      <c r="B586" s="220">
        <v>43830</v>
      </c>
      <c r="C586" s="56" t="s">
        <v>5</v>
      </c>
      <c r="D586" s="56" t="s">
        <v>9</v>
      </c>
      <c r="E586" s="56">
        <v>2019</v>
      </c>
      <c r="F586" s="56">
        <v>1172.8499999999999</v>
      </c>
      <c r="G586" t="s">
        <v>232</v>
      </c>
      <c r="H586">
        <v>1527</v>
      </c>
    </row>
    <row r="587" spans="1:8">
      <c r="A587" s="220">
        <v>43466</v>
      </c>
      <c r="B587" s="220">
        <v>43830</v>
      </c>
      <c r="C587" s="56" t="s">
        <v>5</v>
      </c>
      <c r="D587" s="56" t="s">
        <v>9</v>
      </c>
      <c r="E587" s="56">
        <v>2019</v>
      </c>
      <c r="F587" s="56">
        <v>841.32</v>
      </c>
      <c r="G587" t="s">
        <v>232</v>
      </c>
      <c r="H587">
        <v>1095.3599999999999</v>
      </c>
    </row>
    <row r="588" spans="1:8">
      <c r="A588" s="220">
        <v>43466</v>
      </c>
      <c r="B588" s="220">
        <v>43830</v>
      </c>
      <c r="C588" s="56" t="s">
        <v>5</v>
      </c>
      <c r="D588" s="56" t="s">
        <v>9</v>
      </c>
      <c r="E588" s="56">
        <v>2019</v>
      </c>
      <c r="F588" s="56">
        <v>1275.27</v>
      </c>
      <c r="G588" t="s">
        <v>232</v>
      </c>
      <c r="H588">
        <v>1660.34</v>
      </c>
    </row>
    <row r="589" spans="1:8">
      <c r="A589" s="220">
        <v>43466</v>
      </c>
      <c r="B589" s="220">
        <v>43830</v>
      </c>
      <c r="C589" s="56" t="s">
        <v>5</v>
      </c>
      <c r="D589" s="56" t="s">
        <v>9</v>
      </c>
      <c r="E589" s="56">
        <v>2019</v>
      </c>
      <c r="F589" s="56">
        <v>1172.8499999999999</v>
      </c>
      <c r="G589" t="s">
        <v>232</v>
      </c>
      <c r="H589">
        <v>1527</v>
      </c>
    </row>
    <row r="590" spans="1:8">
      <c r="A590" s="220">
        <v>43466</v>
      </c>
      <c r="B590" s="220">
        <v>43830</v>
      </c>
      <c r="C590" s="56" t="s">
        <v>5</v>
      </c>
      <c r="D590" s="56" t="s">
        <v>9</v>
      </c>
      <c r="E590" s="56">
        <v>2019</v>
      </c>
      <c r="F590" s="56">
        <v>476.88</v>
      </c>
      <c r="G590" t="s">
        <v>232</v>
      </c>
      <c r="H590">
        <v>620.88</v>
      </c>
    </row>
    <row r="591" spans="1:8">
      <c r="A591" s="220">
        <v>43466</v>
      </c>
      <c r="B591" s="220">
        <v>43830</v>
      </c>
      <c r="C591" s="56" t="s">
        <v>5</v>
      </c>
      <c r="D591" s="56" t="s">
        <v>9</v>
      </c>
      <c r="E591" s="56">
        <v>2019</v>
      </c>
      <c r="F591" s="56">
        <v>175.79</v>
      </c>
      <c r="G591" t="s">
        <v>232</v>
      </c>
      <c r="H591">
        <v>228.87</v>
      </c>
    </row>
    <row r="592" spans="1:8">
      <c r="A592" s="220">
        <v>43466</v>
      </c>
      <c r="B592" s="220">
        <v>43830</v>
      </c>
      <c r="C592" s="56" t="s">
        <v>5</v>
      </c>
      <c r="D592" s="56" t="s">
        <v>9</v>
      </c>
      <c r="E592" s="56">
        <v>2019</v>
      </c>
      <c r="F592" s="56">
        <v>520.49</v>
      </c>
      <c r="G592" t="s">
        <v>232</v>
      </c>
      <c r="H592">
        <v>677.65</v>
      </c>
    </row>
    <row r="593" spans="1:8">
      <c r="A593" s="220">
        <v>43831</v>
      </c>
      <c r="B593" s="220">
        <v>44196</v>
      </c>
      <c r="C593" s="56" t="s">
        <v>5</v>
      </c>
      <c r="D593" s="56" t="s">
        <v>9</v>
      </c>
      <c r="E593" s="56">
        <v>2020</v>
      </c>
      <c r="F593" s="56">
        <v>3006.89</v>
      </c>
      <c r="G593" t="s">
        <v>232</v>
      </c>
      <c r="H593">
        <v>4184.16</v>
      </c>
    </row>
    <row r="594" spans="1:8">
      <c r="A594" s="220">
        <v>43466</v>
      </c>
      <c r="B594" s="220">
        <v>43830</v>
      </c>
      <c r="C594" s="56" t="s">
        <v>5</v>
      </c>
      <c r="D594" s="56" t="s">
        <v>9</v>
      </c>
      <c r="E594" s="56">
        <v>2019</v>
      </c>
      <c r="F594" s="56">
        <v>908.23</v>
      </c>
      <c r="G594" t="s">
        <v>232</v>
      </c>
      <c r="H594">
        <v>1182.48</v>
      </c>
    </row>
    <row r="595" spans="1:8">
      <c r="A595" s="220">
        <v>43466</v>
      </c>
      <c r="B595" s="220">
        <v>43830</v>
      </c>
      <c r="C595" s="56" t="s">
        <v>5</v>
      </c>
      <c r="D595" s="56" t="s">
        <v>9</v>
      </c>
      <c r="E595" s="56">
        <v>2019</v>
      </c>
      <c r="F595" s="56">
        <v>985.1</v>
      </c>
      <c r="G595" t="s">
        <v>232</v>
      </c>
      <c r="H595">
        <v>1282.56</v>
      </c>
    </row>
    <row r="596" spans="1:8">
      <c r="A596" s="220">
        <v>43466</v>
      </c>
      <c r="B596" s="220">
        <v>43830</v>
      </c>
      <c r="C596" s="56" t="s">
        <v>5</v>
      </c>
      <c r="D596" s="56" t="s">
        <v>9</v>
      </c>
      <c r="E596" s="56">
        <v>2019</v>
      </c>
      <c r="F596" s="56">
        <v>3093.93</v>
      </c>
      <c r="G596" t="s">
        <v>232</v>
      </c>
      <c r="H596">
        <v>4028.16</v>
      </c>
    </row>
    <row r="597" spans="1:8">
      <c r="A597" s="220">
        <v>43466</v>
      </c>
      <c r="B597" s="220">
        <v>43830</v>
      </c>
      <c r="C597" s="56" t="s">
        <v>5</v>
      </c>
      <c r="D597" s="56" t="s">
        <v>9</v>
      </c>
      <c r="E597" s="56">
        <v>2019</v>
      </c>
      <c r="F597" s="56">
        <v>1333.5</v>
      </c>
      <c r="G597" t="s">
        <v>232</v>
      </c>
      <c r="H597">
        <v>1736.16</v>
      </c>
    </row>
    <row r="598" spans="1:8">
      <c r="A598" s="220">
        <v>43831</v>
      </c>
      <c r="B598" s="220">
        <v>44196</v>
      </c>
      <c r="C598" s="56" t="s">
        <v>5</v>
      </c>
      <c r="D598" s="56" t="s">
        <v>9</v>
      </c>
      <c r="E598" s="56">
        <v>2020</v>
      </c>
      <c r="F598" s="56">
        <v>2010.95</v>
      </c>
      <c r="G598" t="s">
        <v>232</v>
      </c>
      <c r="H598">
        <v>2798.28</v>
      </c>
    </row>
    <row r="599" spans="1:8">
      <c r="A599" s="220">
        <v>43466</v>
      </c>
      <c r="B599" s="220">
        <v>43830</v>
      </c>
      <c r="C599" s="56" t="s">
        <v>5</v>
      </c>
      <c r="D599" s="56" t="s">
        <v>9</v>
      </c>
      <c r="E599" s="56">
        <v>2019</v>
      </c>
      <c r="F599" s="56">
        <v>6315.49</v>
      </c>
      <c r="G599" t="s">
        <v>232</v>
      </c>
      <c r="H599">
        <v>8222.48</v>
      </c>
    </row>
    <row r="600" spans="1:8">
      <c r="A600" s="220">
        <v>43466</v>
      </c>
      <c r="B600" s="220">
        <v>43830</v>
      </c>
      <c r="C600" s="56" t="s">
        <v>5</v>
      </c>
      <c r="D600" s="56" t="s">
        <v>9</v>
      </c>
      <c r="E600" s="56">
        <v>2019</v>
      </c>
      <c r="F600" s="56">
        <v>724.63</v>
      </c>
      <c r="G600" t="s">
        <v>232</v>
      </c>
      <c r="H600">
        <v>943.44</v>
      </c>
    </row>
    <row r="601" spans="1:8">
      <c r="A601" s="220">
        <v>43831</v>
      </c>
      <c r="B601" s="220">
        <v>44196</v>
      </c>
      <c r="C601" s="56" t="s">
        <v>5</v>
      </c>
      <c r="D601" s="56" t="s">
        <v>9</v>
      </c>
      <c r="E601" s="56">
        <v>2020</v>
      </c>
      <c r="F601" s="56">
        <v>577.61</v>
      </c>
      <c r="G601" t="s">
        <v>232</v>
      </c>
      <c r="H601">
        <v>803.76</v>
      </c>
    </row>
    <row r="602" spans="1:8">
      <c r="A602" s="220">
        <v>43466</v>
      </c>
      <c r="B602" s="220">
        <v>43830</v>
      </c>
      <c r="C602" s="56" t="s">
        <v>5</v>
      </c>
      <c r="D602" s="56" t="s">
        <v>9</v>
      </c>
      <c r="E602" s="56">
        <v>2019</v>
      </c>
      <c r="F602" s="56">
        <v>626.29</v>
      </c>
      <c r="G602" t="s">
        <v>232</v>
      </c>
      <c r="H602">
        <v>815.4</v>
      </c>
    </row>
    <row r="603" spans="1:8">
      <c r="A603" s="220">
        <v>43831</v>
      </c>
      <c r="B603" s="220">
        <v>44196</v>
      </c>
      <c r="C603" s="56" t="s">
        <v>5</v>
      </c>
      <c r="D603" s="56" t="s">
        <v>9</v>
      </c>
      <c r="E603" s="56">
        <v>2020</v>
      </c>
      <c r="F603" s="56">
        <v>508.79</v>
      </c>
      <c r="G603" t="s">
        <v>232</v>
      </c>
      <c r="H603">
        <v>708</v>
      </c>
    </row>
    <row r="604" spans="1:8">
      <c r="A604" s="220">
        <v>43831</v>
      </c>
      <c r="B604" s="220">
        <v>44196</v>
      </c>
      <c r="C604" s="56" t="s">
        <v>5</v>
      </c>
      <c r="D604" s="56" t="s">
        <v>9</v>
      </c>
      <c r="E604" s="56">
        <v>2020</v>
      </c>
      <c r="F604" s="56">
        <v>688.17</v>
      </c>
      <c r="G604" t="s">
        <v>232</v>
      </c>
      <c r="H604">
        <v>957.6</v>
      </c>
    </row>
    <row r="605" spans="1:8">
      <c r="A605" s="220">
        <v>43466</v>
      </c>
      <c r="B605" s="220">
        <v>43830</v>
      </c>
      <c r="C605" s="56" t="s">
        <v>5</v>
      </c>
      <c r="D605" s="56" t="s">
        <v>9</v>
      </c>
      <c r="E605" s="56">
        <v>2019</v>
      </c>
      <c r="F605" s="56">
        <v>1307.33</v>
      </c>
      <c r="G605" t="s">
        <v>232</v>
      </c>
      <c r="H605">
        <v>1702.08</v>
      </c>
    </row>
    <row r="606" spans="1:8">
      <c r="A606" s="220">
        <v>43831</v>
      </c>
      <c r="B606" s="220">
        <v>44196</v>
      </c>
      <c r="C606" s="56" t="s">
        <v>5</v>
      </c>
      <c r="D606" s="56" t="s">
        <v>9</v>
      </c>
      <c r="E606" s="56">
        <v>2020</v>
      </c>
      <c r="F606" s="56">
        <v>1438.77</v>
      </c>
      <c r="G606" t="s">
        <v>232</v>
      </c>
      <c r="H606">
        <v>2002.08</v>
      </c>
    </row>
    <row r="607" spans="1:8">
      <c r="A607" s="220">
        <v>43466</v>
      </c>
      <c r="B607" s="220">
        <v>43830</v>
      </c>
      <c r="C607" s="56" t="s">
        <v>5</v>
      </c>
      <c r="D607" s="56" t="s">
        <v>9</v>
      </c>
      <c r="E607" s="56">
        <v>2019</v>
      </c>
      <c r="F607" s="56">
        <v>290.52</v>
      </c>
      <c r="G607" t="s">
        <v>232</v>
      </c>
      <c r="H607">
        <v>378.24</v>
      </c>
    </row>
    <row r="608" spans="1:8">
      <c r="A608" s="220">
        <v>43466</v>
      </c>
      <c r="B608" s="220">
        <v>43830</v>
      </c>
      <c r="C608" s="56" t="s">
        <v>5</v>
      </c>
      <c r="D608" s="56" t="s">
        <v>9</v>
      </c>
      <c r="E608" s="56">
        <v>2019</v>
      </c>
      <c r="F608" s="56">
        <v>3055.68</v>
      </c>
      <c r="G608" t="s">
        <v>232</v>
      </c>
      <c r="H608">
        <v>3978.36</v>
      </c>
    </row>
    <row r="609" spans="1:8">
      <c r="A609" s="220">
        <v>43466</v>
      </c>
      <c r="B609" s="220">
        <v>43830</v>
      </c>
      <c r="C609" s="56" t="s">
        <v>5</v>
      </c>
      <c r="D609" s="56" t="s">
        <v>9</v>
      </c>
      <c r="E609" s="56">
        <v>2019</v>
      </c>
      <c r="F609" s="56">
        <v>1998.96</v>
      </c>
      <c r="G609" t="s">
        <v>232</v>
      </c>
      <c r="H609">
        <v>2602.56</v>
      </c>
    </row>
    <row r="610" spans="1:8">
      <c r="A610" s="220">
        <v>43831</v>
      </c>
      <c r="B610" s="220">
        <v>44196</v>
      </c>
      <c r="C610" s="56" t="s">
        <v>5</v>
      </c>
      <c r="D610" s="56" t="s">
        <v>9</v>
      </c>
      <c r="E610" s="56">
        <v>2020</v>
      </c>
      <c r="F610" s="56">
        <v>681.1</v>
      </c>
      <c r="G610" t="s">
        <v>232</v>
      </c>
      <c r="H610">
        <v>947.76</v>
      </c>
    </row>
    <row r="611" spans="1:8">
      <c r="A611" s="220">
        <v>43831</v>
      </c>
      <c r="B611" s="220">
        <v>44196</v>
      </c>
      <c r="C611" s="56" t="s">
        <v>5</v>
      </c>
      <c r="D611" s="56" t="s">
        <v>9</v>
      </c>
      <c r="E611" s="56">
        <v>2020</v>
      </c>
      <c r="F611" s="56">
        <v>734.65</v>
      </c>
      <c r="G611" t="s">
        <v>232</v>
      </c>
      <c r="H611">
        <v>1022.28</v>
      </c>
    </row>
    <row r="612" spans="1:8">
      <c r="A612" s="220">
        <v>43466</v>
      </c>
      <c r="B612" s="220">
        <v>43830</v>
      </c>
      <c r="C612" s="56" t="s">
        <v>5</v>
      </c>
      <c r="D612" s="56" t="s">
        <v>9</v>
      </c>
      <c r="E612" s="56">
        <v>2019</v>
      </c>
      <c r="F612" s="56">
        <v>724.63</v>
      </c>
      <c r="G612" t="s">
        <v>232</v>
      </c>
      <c r="H612">
        <v>943.44</v>
      </c>
    </row>
    <row r="613" spans="1:8">
      <c r="A613" s="220">
        <v>43831</v>
      </c>
      <c r="B613" s="220">
        <v>44196</v>
      </c>
      <c r="C613" s="56" t="s">
        <v>5</v>
      </c>
      <c r="D613" s="56" t="s">
        <v>9</v>
      </c>
      <c r="E613" s="56">
        <v>2020</v>
      </c>
      <c r="F613" s="56">
        <v>483.36</v>
      </c>
      <c r="G613" t="s">
        <v>232</v>
      </c>
      <c r="H613">
        <v>672.6</v>
      </c>
    </row>
    <row r="614" spans="1:8">
      <c r="A614" s="220">
        <v>43466</v>
      </c>
      <c r="B614" s="220">
        <v>43830</v>
      </c>
      <c r="C614" s="56" t="s">
        <v>5</v>
      </c>
      <c r="D614" s="56" t="s">
        <v>9</v>
      </c>
      <c r="E614" s="56">
        <v>2019</v>
      </c>
      <c r="F614" s="56">
        <v>841.32</v>
      </c>
      <c r="G614" t="s">
        <v>232</v>
      </c>
      <c r="H614">
        <v>1095.3599999999999</v>
      </c>
    </row>
    <row r="615" spans="1:8">
      <c r="A615" s="220">
        <v>43831</v>
      </c>
      <c r="B615" s="220">
        <v>44196</v>
      </c>
      <c r="C615" s="56" t="s">
        <v>5</v>
      </c>
      <c r="D615" s="56" t="s">
        <v>9</v>
      </c>
      <c r="E615" s="56">
        <v>2020</v>
      </c>
      <c r="F615" s="56">
        <v>1818.38</v>
      </c>
      <c r="G615" t="s">
        <v>232</v>
      </c>
      <c r="H615">
        <v>2530.3200000000002</v>
      </c>
    </row>
    <row r="616" spans="1:8">
      <c r="A616" s="220">
        <v>43466</v>
      </c>
      <c r="B616" s="220">
        <v>43830</v>
      </c>
      <c r="C616" s="56" t="s">
        <v>5</v>
      </c>
      <c r="D616" s="56" t="s">
        <v>9</v>
      </c>
      <c r="E616" s="56">
        <v>2019</v>
      </c>
      <c r="F616" s="56">
        <v>793.13</v>
      </c>
      <c r="G616" t="s">
        <v>232</v>
      </c>
      <c r="H616">
        <v>1032.6199999999999</v>
      </c>
    </row>
    <row r="617" spans="1:8">
      <c r="A617" s="220">
        <v>43831</v>
      </c>
      <c r="B617" s="220">
        <v>44196</v>
      </c>
      <c r="C617" s="56" t="s">
        <v>5</v>
      </c>
      <c r="D617" s="56" t="s">
        <v>9</v>
      </c>
      <c r="E617" s="56">
        <v>2020</v>
      </c>
      <c r="F617" s="56">
        <v>560.19000000000005</v>
      </c>
      <c r="G617" t="s">
        <v>232</v>
      </c>
      <c r="H617">
        <v>779.52</v>
      </c>
    </row>
    <row r="618" spans="1:8">
      <c r="A618" s="220">
        <v>43831</v>
      </c>
      <c r="B618" s="220">
        <v>44196</v>
      </c>
      <c r="C618" s="56" t="s">
        <v>5</v>
      </c>
      <c r="D618" s="56" t="s">
        <v>9</v>
      </c>
      <c r="E618" s="56">
        <v>2020</v>
      </c>
      <c r="F618" s="56">
        <v>1397.12</v>
      </c>
      <c r="G618" t="s">
        <v>232</v>
      </c>
      <c r="H618">
        <v>1944.12</v>
      </c>
    </row>
    <row r="619" spans="1:8">
      <c r="A619" s="220">
        <v>43466</v>
      </c>
      <c r="B619" s="220">
        <v>43830</v>
      </c>
      <c r="C619" s="56" t="s">
        <v>5</v>
      </c>
      <c r="D619" s="56" t="s">
        <v>9</v>
      </c>
      <c r="E619" s="56">
        <v>2019</v>
      </c>
      <c r="F619" s="56">
        <v>766.85</v>
      </c>
      <c r="G619" t="s">
        <v>232</v>
      </c>
      <c r="H619">
        <v>998.4</v>
      </c>
    </row>
    <row r="620" spans="1:8">
      <c r="A620" s="220">
        <v>43831</v>
      </c>
      <c r="B620" s="220">
        <v>44196</v>
      </c>
      <c r="C620" s="56" t="s">
        <v>5</v>
      </c>
      <c r="D620" s="56" t="s">
        <v>9</v>
      </c>
      <c r="E620" s="56">
        <v>2020</v>
      </c>
      <c r="F620" s="56">
        <v>653.33000000000004</v>
      </c>
      <c r="G620" t="s">
        <v>232</v>
      </c>
      <c r="H620">
        <v>909.12</v>
      </c>
    </row>
    <row r="621" spans="1:8">
      <c r="A621" s="220">
        <v>43466</v>
      </c>
      <c r="B621" s="220">
        <v>43830</v>
      </c>
      <c r="C621" s="56" t="s">
        <v>5</v>
      </c>
      <c r="D621" s="56" t="s">
        <v>9</v>
      </c>
      <c r="E621" s="56">
        <v>2019</v>
      </c>
      <c r="F621" s="56">
        <v>2313.48</v>
      </c>
      <c r="G621" t="s">
        <v>232</v>
      </c>
      <c r="H621">
        <v>3012.04</v>
      </c>
    </row>
    <row r="622" spans="1:8">
      <c r="A622" s="220">
        <v>43831</v>
      </c>
      <c r="B622" s="220">
        <v>44196</v>
      </c>
      <c r="C622" s="56" t="s">
        <v>5</v>
      </c>
      <c r="D622" s="56" t="s">
        <v>9</v>
      </c>
      <c r="E622" s="56">
        <v>2020</v>
      </c>
      <c r="F622" s="56">
        <v>862.62</v>
      </c>
      <c r="G622" t="s">
        <v>232</v>
      </c>
      <c r="H622">
        <v>1200.3599999999999</v>
      </c>
    </row>
    <row r="623" spans="1:8">
      <c r="A623" s="220">
        <v>43831</v>
      </c>
      <c r="B623" s="220">
        <v>44196</v>
      </c>
      <c r="C623" s="56" t="s">
        <v>5</v>
      </c>
      <c r="D623" s="56" t="s">
        <v>9</v>
      </c>
      <c r="E623" s="56">
        <v>2020</v>
      </c>
      <c r="F623" s="56">
        <v>364.18</v>
      </c>
      <c r="G623" t="s">
        <v>232</v>
      </c>
      <c r="H623">
        <v>506.76</v>
      </c>
    </row>
    <row r="624" spans="1:8">
      <c r="A624" s="220">
        <v>43831</v>
      </c>
      <c r="B624" s="220">
        <v>44196</v>
      </c>
      <c r="C624" s="56" t="s">
        <v>5</v>
      </c>
      <c r="D624" s="56" t="s">
        <v>9</v>
      </c>
      <c r="E624" s="56">
        <v>2020</v>
      </c>
      <c r="F624" s="56">
        <v>1130.1300000000001</v>
      </c>
      <c r="G624" t="s">
        <v>232</v>
      </c>
      <c r="H624">
        <v>1572.6</v>
      </c>
    </row>
    <row r="625" spans="1:8">
      <c r="A625" s="220">
        <v>43831</v>
      </c>
      <c r="B625" s="220">
        <v>44196</v>
      </c>
      <c r="C625" s="56" t="s">
        <v>5</v>
      </c>
      <c r="D625" s="56" t="s">
        <v>9</v>
      </c>
      <c r="E625" s="56">
        <v>2020</v>
      </c>
      <c r="F625" s="56">
        <v>309.17</v>
      </c>
      <c r="G625" t="s">
        <v>232</v>
      </c>
      <c r="H625">
        <v>430.22</v>
      </c>
    </row>
    <row r="626" spans="1:8">
      <c r="A626" s="220">
        <v>43831</v>
      </c>
      <c r="B626" s="220">
        <v>44196</v>
      </c>
      <c r="C626" s="56" t="s">
        <v>5</v>
      </c>
      <c r="D626" s="56" t="s">
        <v>9</v>
      </c>
      <c r="E626" s="56">
        <v>2020</v>
      </c>
      <c r="F626" s="56">
        <v>548.98</v>
      </c>
      <c r="G626" t="s">
        <v>232</v>
      </c>
      <c r="H626">
        <v>763.92</v>
      </c>
    </row>
    <row r="627" spans="1:8">
      <c r="A627" s="220">
        <v>43466</v>
      </c>
      <c r="B627" s="220">
        <v>43830</v>
      </c>
      <c r="C627" s="56" t="s">
        <v>5</v>
      </c>
      <c r="D627" s="56" t="s">
        <v>9</v>
      </c>
      <c r="E627" s="56">
        <v>2019</v>
      </c>
      <c r="F627" s="56">
        <v>3518.56</v>
      </c>
      <c r="G627" t="s">
        <v>232</v>
      </c>
      <c r="H627">
        <v>4581</v>
      </c>
    </row>
    <row r="628" spans="1:8">
      <c r="A628" s="220">
        <v>43466</v>
      </c>
      <c r="B628" s="220">
        <v>43830</v>
      </c>
      <c r="C628" s="56" t="s">
        <v>5</v>
      </c>
      <c r="D628" s="56" t="s">
        <v>9</v>
      </c>
      <c r="E628" s="56">
        <v>2019</v>
      </c>
      <c r="F628" s="56">
        <v>1930.36</v>
      </c>
      <c r="G628" t="s">
        <v>232</v>
      </c>
      <c r="H628">
        <v>2513.2399999999998</v>
      </c>
    </row>
    <row r="629" spans="1:8">
      <c r="A629" s="220">
        <v>43831</v>
      </c>
      <c r="B629" s="220">
        <v>44196</v>
      </c>
      <c r="C629" s="56" t="s">
        <v>5</v>
      </c>
      <c r="D629" s="56" t="s">
        <v>9</v>
      </c>
      <c r="E629" s="56">
        <v>2020</v>
      </c>
      <c r="F629" s="56">
        <v>949.2</v>
      </c>
      <c r="G629" t="s">
        <v>232</v>
      </c>
      <c r="H629">
        <v>1320.84</v>
      </c>
    </row>
    <row r="630" spans="1:8">
      <c r="A630" s="220">
        <v>43466</v>
      </c>
      <c r="B630" s="220">
        <v>43830</v>
      </c>
      <c r="C630" s="56" t="s">
        <v>5</v>
      </c>
      <c r="D630" s="56" t="s">
        <v>9</v>
      </c>
      <c r="E630" s="56">
        <v>2019</v>
      </c>
      <c r="F630" s="56">
        <v>400.41</v>
      </c>
      <c r="G630" t="s">
        <v>232</v>
      </c>
      <c r="H630">
        <v>521.30999999999995</v>
      </c>
    </row>
    <row r="631" spans="1:8">
      <c r="A631" s="220">
        <v>43831</v>
      </c>
      <c r="B631" s="220">
        <v>44196</v>
      </c>
      <c r="C631" s="56" t="s">
        <v>5</v>
      </c>
      <c r="D631" s="56" t="s">
        <v>9</v>
      </c>
      <c r="E631" s="56">
        <v>2020</v>
      </c>
      <c r="F631" s="56">
        <v>91.5</v>
      </c>
      <c r="G631" t="s">
        <v>232</v>
      </c>
      <c r="H631">
        <v>127.32</v>
      </c>
    </row>
    <row r="632" spans="1:8">
      <c r="A632" s="220">
        <v>43831</v>
      </c>
      <c r="B632" s="220">
        <v>44196</v>
      </c>
      <c r="C632" s="56" t="s">
        <v>5</v>
      </c>
      <c r="D632" s="56" t="s">
        <v>9</v>
      </c>
      <c r="E632" s="56">
        <v>2020</v>
      </c>
      <c r="F632" s="56">
        <v>1922.32</v>
      </c>
      <c r="G632" t="s">
        <v>232</v>
      </c>
      <c r="H632">
        <v>2674.96</v>
      </c>
    </row>
    <row r="633" spans="1:8">
      <c r="A633" s="220">
        <v>43831</v>
      </c>
      <c r="B633" s="220">
        <v>44196</v>
      </c>
      <c r="C633" s="56" t="s">
        <v>5</v>
      </c>
      <c r="D633" s="56" t="s">
        <v>9</v>
      </c>
      <c r="E633" s="56">
        <v>2020</v>
      </c>
      <c r="F633" s="56">
        <v>343.61</v>
      </c>
      <c r="G633" t="s">
        <v>232</v>
      </c>
      <c r="H633">
        <v>478.14</v>
      </c>
    </row>
    <row r="634" spans="1:8">
      <c r="A634" s="220">
        <v>43831</v>
      </c>
      <c r="B634" s="220">
        <v>44196</v>
      </c>
      <c r="C634" s="56" t="s">
        <v>5</v>
      </c>
      <c r="D634" s="56" t="s">
        <v>9</v>
      </c>
      <c r="E634" s="56">
        <v>2020</v>
      </c>
      <c r="F634" s="56">
        <v>2227.83</v>
      </c>
      <c r="G634" t="s">
        <v>232</v>
      </c>
      <c r="H634">
        <v>3100.08</v>
      </c>
    </row>
    <row r="635" spans="1:8">
      <c r="A635" s="220">
        <v>43466</v>
      </c>
      <c r="B635" s="220">
        <v>43830</v>
      </c>
      <c r="C635" s="56" t="s">
        <v>5</v>
      </c>
      <c r="D635" s="56" t="s">
        <v>9</v>
      </c>
      <c r="E635" s="56">
        <v>2019</v>
      </c>
      <c r="F635" s="56">
        <v>2646.5</v>
      </c>
      <c r="G635" t="s">
        <v>232</v>
      </c>
      <c r="H635">
        <v>3445.62</v>
      </c>
    </row>
    <row r="636" spans="1:8">
      <c r="A636" s="220">
        <v>43831</v>
      </c>
      <c r="B636" s="220">
        <v>44196</v>
      </c>
      <c r="C636" s="56" t="s">
        <v>5</v>
      </c>
      <c r="D636" s="56" t="s">
        <v>9</v>
      </c>
      <c r="E636" s="56">
        <v>2020</v>
      </c>
      <c r="F636" s="56">
        <v>5637.27</v>
      </c>
      <c r="G636" t="s">
        <v>232</v>
      </c>
      <c r="H636">
        <v>7844.39</v>
      </c>
    </row>
    <row r="637" spans="1:8">
      <c r="A637" s="220">
        <v>43466</v>
      </c>
      <c r="B637" s="220">
        <v>43830</v>
      </c>
      <c r="C637" s="56" t="s">
        <v>5</v>
      </c>
      <c r="D637" s="56" t="s">
        <v>9</v>
      </c>
      <c r="E637" s="56">
        <v>2019</v>
      </c>
      <c r="F637" s="56">
        <v>908.23</v>
      </c>
      <c r="G637" t="s">
        <v>232</v>
      </c>
      <c r="H637">
        <v>1182.48</v>
      </c>
    </row>
    <row r="638" spans="1:8">
      <c r="A638" s="220">
        <v>43831</v>
      </c>
      <c r="B638" s="220">
        <v>44196</v>
      </c>
      <c r="C638" s="56" t="s">
        <v>5</v>
      </c>
      <c r="D638" s="56" t="s">
        <v>9</v>
      </c>
      <c r="E638" s="56">
        <v>2020</v>
      </c>
      <c r="F638" s="56">
        <v>979.04</v>
      </c>
      <c r="G638" t="s">
        <v>232</v>
      </c>
      <c r="H638">
        <v>1362.36</v>
      </c>
    </row>
    <row r="639" spans="1:8">
      <c r="A639" s="220">
        <v>43466</v>
      </c>
      <c r="B639" s="220">
        <v>43830</v>
      </c>
      <c r="C639" s="56" t="s">
        <v>5</v>
      </c>
      <c r="D639" s="56" t="s">
        <v>9</v>
      </c>
      <c r="E639" s="56">
        <v>2019</v>
      </c>
      <c r="F639" s="56">
        <v>334.02</v>
      </c>
      <c r="G639" t="s">
        <v>232</v>
      </c>
      <c r="H639">
        <v>434.88</v>
      </c>
    </row>
    <row r="640" spans="1:8">
      <c r="A640" s="220">
        <v>43831</v>
      </c>
      <c r="B640" s="220">
        <v>44196</v>
      </c>
      <c r="C640" s="56" t="s">
        <v>5</v>
      </c>
      <c r="D640" s="56" t="s">
        <v>9</v>
      </c>
      <c r="E640" s="56">
        <v>2020</v>
      </c>
      <c r="F640" s="56">
        <v>2628.36</v>
      </c>
      <c r="G640" t="s">
        <v>232</v>
      </c>
      <c r="H640">
        <v>3657.42</v>
      </c>
    </row>
    <row r="641" spans="1:8">
      <c r="A641" s="220">
        <v>43466</v>
      </c>
      <c r="B641" s="220">
        <v>43830</v>
      </c>
      <c r="C641" s="56" t="s">
        <v>5</v>
      </c>
      <c r="D641" s="56" t="s">
        <v>9</v>
      </c>
      <c r="E641" s="56">
        <v>2019</v>
      </c>
      <c r="F641" s="56">
        <v>2881.32</v>
      </c>
      <c r="G641" t="s">
        <v>232</v>
      </c>
      <c r="H641">
        <v>3751.35</v>
      </c>
    </row>
    <row r="642" spans="1:8">
      <c r="A642" s="220">
        <v>43831</v>
      </c>
      <c r="B642" s="220">
        <v>44196</v>
      </c>
      <c r="C642" s="56" t="s">
        <v>5</v>
      </c>
      <c r="D642" s="56" t="s">
        <v>9</v>
      </c>
      <c r="E642" s="56">
        <v>2020</v>
      </c>
      <c r="F642" s="56">
        <v>560.19000000000005</v>
      </c>
      <c r="G642" t="s">
        <v>232</v>
      </c>
      <c r="H642">
        <v>779.52</v>
      </c>
    </row>
    <row r="643" spans="1:8">
      <c r="A643" s="220">
        <v>43466</v>
      </c>
      <c r="B643" s="220">
        <v>43830</v>
      </c>
      <c r="C643" s="56" t="s">
        <v>5</v>
      </c>
      <c r="D643" s="56" t="s">
        <v>9</v>
      </c>
      <c r="E643" s="56">
        <v>2019</v>
      </c>
      <c r="F643" s="56">
        <v>1970.21</v>
      </c>
      <c r="G643" t="s">
        <v>232</v>
      </c>
      <c r="H643">
        <v>2565.12</v>
      </c>
    </row>
    <row r="644" spans="1:8">
      <c r="A644" s="220">
        <v>43831</v>
      </c>
      <c r="B644" s="220">
        <v>44196</v>
      </c>
      <c r="C644" s="56" t="s">
        <v>5</v>
      </c>
      <c r="D644" s="56" t="s">
        <v>9</v>
      </c>
      <c r="E644" s="56">
        <v>2020</v>
      </c>
      <c r="F644" s="56">
        <v>3637.39</v>
      </c>
      <c r="G644" t="s">
        <v>232</v>
      </c>
      <c r="H644">
        <v>5061.5200000000004</v>
      </c>
    </row>
    <row r="645" spans="1:8">
      <c r="A645" s="220">
        <v>43466</v>
      </c>
      <c r="B645" s="220">
        <v>43830</v>
      </c>
      <c r="C645" s="56" t="s">
        <v>5</v>
      </c>
      <c r="D645" s="56" t="s">
        <v>9</v>
      </c>
      <c r="E645" s="56">
        <v>2019</v>
      </c>
      <c r="F645" s="56">
        <v>908.23</v>
      </c>
      <c r="G645" t="s">
        <v>232</v>
      </c>
      <c r="H645">
        <v>1182.48</v>
      </c>
    </row>
    <row r="646" spans="1:8">
      <c r="A646" s="220">
        <v>43831</v>
      </c>
      <c r="B646" s="220">
        <v>44196</v>
      </c>
      <c r="C646" s="56" t="s">
        <v>5</v>
      </c>
      <c r="D646" s="56" t="s">
        <v>9</v>
      </c>
      <c r="E646" s="56">
        <v>2020</v>
      </c>
      <c r="F646" s="56">
        <v>460.24</v>
      </c>
      <c r="G646" t="s">
        <v>232</v>
      </c>
      <c r="H646">
        <v>640.44000000000005</v>
      </c>
    </row>
    <row r="647" spans="1:8">
      <c r="A647" s="220">
        <v>43831</v>
      </c>
      <c r="B647" s="220">
        <v>44196</v>
      </c>
      <c r="C647" s="56" t="s">
        <v>5</v>
      </c>
      <c r="D647" s="56" t="s">
        <v>9</v>
      </c>
      <c r="E647" s="56">
        <v>2020</v>
      </c>
      <c r="F647" s="56">
        <v>920.49</v>
      </c>
      <c r="G647" t="s">
        <v>232</v>
      </c>
      <c r="H647">
        <v>1280.8800000000001</v>
      </c>
    </row>
    <row r="648" spans="1:8">
      <c r="A648" s="220">
        <v>43466</v>
      </c>
      <c r="B648" s="220">
        <v>43830</v>
      </c>
      <c r="C648" s="56" t="s">
        <v>5</v>
      </c>
      <c r="D648" s="56" t="s">
        <v>9</v>
      </c>
      <c r="E648" s="56">
        <v>2019</v>
      </c>
      <c r="F648" s="56">
        <v>1029.6199999999999</v>
      </c>
      <c r="G648" t="s">
        <v>232</v>
      </c>
      <c r="H648">
        <v>1340.52</v>
      </c>
    </row>
    <row r="649" spans="1:8">
      <c r="A649" s="220">
        <v>43466</v>
      </c>
      <c r="B649" s="220">
        <v>43830</v>
      </c>
      <c r="C649" s="56" t="s">
        <v>5</v>
      </c>
      <c r="D649" s="56" t="s">
        <v>9</v>
      </c>
      <c r="E649" s="56">
        <v>2019</v>
      </c>
      <c r="F649" s="56">
        <v>773.48</v>
      </c>
      <c r="G649" t="s">
        <v>232</v>
      </c>
      <c r="H649">
        <v>1007.04</v>
      </c>
    </row>
    <row r="650" spans="1:8">
      <c r="A650" s="220">
        <v>43831</v>
      </c>
      <c r="B650" s="220">
        <v>44196</v>
      </c>
      <c r="C650" s="56" t="s">
        <v>5</v>
      </c>
      <c r="D650" s="56" t="s">
        <v>9</v>
      </c>
      <c r="E650" s="56">
        <v>2020</v>
      </c>
      <c r="F650" s="56">
        <v>1394.79</v>
      </c>
      <c r="G650" t="s">
        <v>232</v>
      </c>
      <c r="H650">
        <v>1940.88</v>
      </c>
    </row>
    <row r="651" spans="1:8">
      <c r="A651" s="220">
        <v>43466</v>
      </c>
      <c r="B651" s="220">
        <v>43830</v>
      </c>
      <c r="C651" s="56" t="s">
        <v>5</v>
      </c>
      <c r="D651" s="56" t="s">
        <v>9</v>
      </c>
      <c r="E651" s="56">
        <v>2019</v>
      </c>
      <c r="F651" s="56">
        <v>599.74</v>
      </c>
      <c r="G651" t="s">
        <v>232</v>
      </c>
      <c r="H651">
        <v>780.84</v>
      </c>
    </row>
    <row r="652" spans="1:8">
      <c r="A652" s="220">
        <v>43831</v>
      </c>
      <c r="B652" s="220">
        <v>44196</v>
      </c>
      <c r="C652" s="56" t="s">
        <v>5</v>
      </c>
      <c r="D652" s="56" t="s">
        <v>9</v>
      </c>
      <c r="E652" s="56">
        <v>2020</v>
      </c>
      <c r="F652" s="56">
        <v>2422.04</v>
      </c>
      <c r="G652" t="s">
        <v>232</v>
      </c>
      <c r="H652">
        <v>3370.32</v>
      </c>
    </row>
    <row r="653" spans="1:8">
      <c r="A653" s="220">
        <v>43466</v>
      </c>
      <c r="B653" s="220">
        <v>43830</v>
      </c>
      <c r="C653" s="56" t="s">
        <v>5</v>
      </c>
      <c r="D653" s="56" t="s">
        <v>9</v>
      </c>
      <c r="E653" s="56">
        <v>2019</v>
      </c>
      <c r="F653" s="56">
        <v>1172.8499999999999</v>
      </c>
      <c r="G653" t="s">
        <v>232</v>
      </c>
      <c r="H653">
        <v>1527</v>
      </c>
    </row>
    <row r="654" spans="1:8">
      <c r="A654" s="220">
        <v>43466</v>
      </c>
      <c r="B654" s="220">
        <v>43830</v>
      </c>
      <c r="C654" s="56" t="s">
        <v>5</v>
      </c>
      <c r="D654" s="56" t="s">
        <v>9</v>
      </c>
      <c r="E654" s="56">
        <v>2019</v>
      </c>
      <c r="F654" s="56">
        <v>1077.8800000000001</v>
      </c>
      <c r="G654" t="s">
        <v>232</v>
      </c>
      <c r="H654">
        <v>1403.35</v>
      </c>
    </row>
    <row r="655" spans="1:8">
      <c r="A655" s="220">
        <v>43466</v>
      </c>
      <c r="B655" s="220">
        <v>43830</v>
      </c>
      <c r="C655" s="56" t="s">
        <v>5</v>
      </c>
      <c r="D655" s="56" t="s">
        <v>9</v>
      </c>
      <c r="E655" s="56">
        <v>2019</v>
      </c>
      <c r="F655" s="56">
        <v>1743.1</v>
      </c>
      <c r="G655" t="s">
        <v>232</v>
      </c>
      <c r="H655">
        <v>2269.44</v>
      </c>
    </row>
    <row r="656" spans="1:8">
      <c r="A656" s="220">
        <v>43466</v>
      </c>
      <c r="B656" s="220">
        <v>43830</v>
      </c>
      <c r="C656" s="56" t="s">
        <v>5</v>
      </c>
      <c r="D656" s="56" t="s">
        <v>9</v>
      </c>
      <c r="E656" s="56">
        <v>2019</v>
      </c>
      <c r="F656" s="56">
        <v>1029.6199999999999</v>
      </c>
      <c r="G656" t="s">
        <v>232</v>
      </c>
      <c r="H656">
        <v>1340.52</v>
      </c>
    </row>
    <row r="657" spans="1:8">
      <c r="A657" s="220">
        <v>43831</v>
      </c>
      <c r="B657" s="220">
        <v>44196</v>
      </c>
      <c r="C657" s="56" t="s">
        <v>5</v>
      </c>
      <c r="D657" s="56" t="s">
        <v>9</v>
      </c>
      <c r="E657" s="56">
        <v>2020</v>
      </c>
      <c r="F657" s="56">
        <v>508.79</v>
      </c>
      <c r="G657" t="s">
        <v>232</v>
      </c>
      <c r="H657">
        <v>708</v>
      </c>
    </row>
    <row r="658" spans="1:8">
      <c r="A658" s="220">
        <v>43466</v>
      </c>
      <c r="B658" s="220">
        <v>43830</v>
      </c>
      <c r="C658" s="56" t="s">
        <v>5</v>
      </c>
      <c r="D658" s="56" t="s">
        <v>9</v>
      </c>
      <c r="E658" s="56">
        <v>2019</v>
      </c>
      <c r="F658" s="56">
        <v>94.8</v>
      </c>
      <c r="G658" t="s">
        <v>232</v>
      </c>
      <c r="H658">
        <v>123.42</v>
      </c>
    </row>
    <row r="659" spans="1:8">
      <c r="A659" s="220">
        <v>43831</v>
      </c>
      <c r="B659" s="220">
        <v>44196</v>
      </c>
      <c r="C659" s="56" t="s">
        <v>5</v>
      </c>
      <c r="D659" s="56" t="s">
        <v>9</v>
      </c>
      <c r="E659" s="56">
        <v>2020</v>
      </c>
      <c r="F659" s="56">
        <v>530.01</v>
      </c>
      <c r="G659" t="s">
        <v>232</v>
      </c>
      <c r="H659">
        <v>737.52</v>
      </c>
    </row>
    <row r="660" spans="1:8">
      <c r="A660" s="220">
        <v>43466</v>
      </c>
      <c r="B660" s="220">
        <v>43830</v>
      </c>
      <c r="C660" s="56" t="s">
        <v>5</v>
      </c>
      <c r="D660" s="56" t="s">
        <v>9</v>
      </c>
      <c r="E660" s="56">
        <v>2019</v>
      </c>
      <c r="F660" s="56">
        <v>999.48</v>
      </c>
      <c r="G660" t="s">
        <v>232</v>
      </c>
      <c r="H660">
        <v>1301.28</v>
      </c>
    </row>
    <row r="661" spans="1:8">
      <c r="A661" s="220">
        <v>43831</v>
      </c>
      <c r="B661" s="220">
        <v>44196</v>
      </c>
      <c r="C661" s="56" t="s">
        <v>5</v>
      </c>
      <c r="D661" s="56" t="s">
        <v>9</v>
      </c>
      <c r="E661" s="56">
        <v>2020</v>
      </c>
      <c r="F661" s="56">
        <v>734.65</v>
      </c>
      <c r="G661" t="s">
        <v>232</v>
      </c>
      <c r="H661">
        <v>1022.28</v>
      </c>
    </row>
    <row r="662" spans="1:8">
      <c r="A662" s="220">
        <v>43466</v>
      </c>
      <c r="B662" s="220">
        <v>43830</v>
      </c>
      <c r="C662" s="56" t="s">
        <v>5</v>
      </c>
      <c r="D662" s="56" t="s">
        <v>9</v>
      </c>
      <c r="E662" s="56">
        <v>2019</v>
      </c>
      <c r="F662" s="56">
        <v>3365.28</v>
      </c>
      <c r="G662" t="s">
        <v>232</v>
      </c>
      <c r="H662">
        <v>4381.4399999999996</v>
      </c>
    </row>
    <row r="663" spans="1:8">
      <c r="A663" s="220">
        <v>43466</v>
      </c>
      <c r="B663" s="220">
        <v>43830</v>
      </c>
      <c r="C663" s="56" t="s">
        <v>5</v>
      </c>
      <c r="D663" s="56" t="s">
        <v>9</v>
      </c>
      <c r="E663" s="56">
        <v>2019</v>
      </c>
      <c r="F663" s="56">
        <v>383.42</v>
      </c>
      <c r="G663" t="s">
        <v>232</v>
      </c>
      <c r="H663">
        <v>499.2</v>
      </c>
    </row>
    <row r="664" spans="1:8">
      <c r="A664" s="220">
        <v>43831</v>
      </c>
      <c r="B664" s="220">
        <v>44196</v>
      </c>
      <c r="C664" s="56" t="s">
        <v>5</v>
      </c>
      <c r="D664" s="56" t="s">
        <v>9</v>
      </c>
      <c r="E664" s="56">
        <v>2020</v>
      </c>
      <c r="F664" s="56">
        <v>365.99</v>
      </c>
      <c r="G664" t="s">
        <v>232</v>
      </c>
      <c r="H664">
        <v>509.28</v>
      </c>
    </row>
    <row r="665" spans="1:8">
      <c r="A665" s="220">
        <v>43831</v>
      </c>
      <c r="B665" s="220">
        <v>44196</v>
      </c>
      <c r="C665" s="56" t="s">
        <v>5</v>
      </c>
      <c r="D665" s="56" t="s">
        <v>9</v>
      </c>
      <c r="E665" s="56">
        <v>2020</v>
      </c>
      <c r="F665" s="56">
        <v>4112.49</v>
      </c>
      <c r="G665" t="s">
        <v>232</v>
      </c>
      <c r="H665">
        <v>5722.62</v>
      </c>
    </row>
    <row r="666" spans="1:8">
      <c r="A666" s="220">
        <v>43466</v>
      </c>
      <c r="B666" s="220">
        <v>43830</v>
      </c>
      <c r="C666" s="56" t="s">
        <v>5</v>
      </c>
      <c r="D666" s="56" t="s">
        <v>9</v>
      </c>
      <c r="E666" s="56">
        <v>2019</v>
      </c>
      <c r="F666" s="56">
        <v>2615.54</v>
      </c>
      <c r="G666" t="s">
        <v>232</v>
      </c>
      <c r="H666">
        <v>3405.31</v>
      </c>
    </row>
    <row r="667" spans="1:8">
      <c r="A667" s="220">
        <v>43466</v>
      </c>
      <c r="B667" s="220">
        <v>43830</v>
      </c>
      <c r="C667" s="56" t="s">
        <v>5</v>
      </c>
      <c r="D667" s="56" t="s">
        <v>9</v>
      </c>
      <c r="E667" s="56">
        <v>2019</v>
      </c>
      <c r="F667" s="56">
        <v>761.96</v>
      </c>
      <c r="G667" t="s">
        <v>232</v>
      </c>
      <c r="H667">
        <v>992.04</v>
      </c>
    </row>
    <row r="668" spans="1:8">
      <c r="A668" s="220">
        <v>43466</v>
      </c>
      <c r="B668" s="220">
        <v>43830</v>
      </c>
      <c r="C668" s="56" t="s">
        <v>5</v>
      </c>
      <c r="D668" s="56" t="s">
        <v>9</v>
      </c>
      <c r="E668" s="56">
        <v>2019</v>
      </c>
      <c r="F668" s="56">
        <v>666.75</v>
      </c>
      <c r="G668" t="s">
        <v>232</v>
      </c>
      <c r="H668">
        <v>868.08</v>
      </c>
    </row>
    <row r="669" spans="1:8">
      <c r="A669" s="220">
        <v>43831</v>
      </c>
      <c r="B669" s="220">
        <v>44196</v>
      </c>
      <c r="C669" s="56" t="s">
        <v>5</v>
      </c>
      <c r="D669" s="56" t="s">
        <v>9</v>
      </c>
      <c r="E669" s="56">
        <v>2020</v>
      </c>
      <c r="F669" s="56">
        <v>688.17</v>
      </c>
      <c r="G669" t="s">
        <v>232</v>
      </c>
      <c r="H669">
        <v>957.6</v>
      </c>
    </row>
    <row r="670" spans="1:8">
      <c r="A670" s="220">
        <v>43831</v>
      </c>
      <c r="B670" s="220">
        <v>44196</v>
      </c>
      <c r="C670" s="56" t="s">
        <v>5</v>
      </c>
      <c r="D670" s="56" t="s">
        <v>9</v>
      </c>
      <c r="E670" s="56">
        <v>2020</v>
      </c>
      <c r="F670" s="56">
        <v>1464.64</v>
      </c>
      <c r="G670" t="s">
        <v>232</v>
      </c>
      <c r="H670">
        <v>2038.08</v>
      </c>
    </row>
    <row r="671" spans="1:8">
      <c r="A671" s="220">
        <v>43831</v>
      </c>
      <c r="B671" s="220">
        <v>44196</v>
      </c>
      <c r="C671" s="56" t="s">
        <v>5</v>
      </c>
      <c r="D671" s="56" t="s">
        <v>9</v>
      </c>
      <c r="E671" s="56">
        <v>2020</v>
      </c>
      <c r="F671" s="56">
        <v>3377.39</v>
      </c>
      <c r="G671" t="s">
        <v>232</v>
      </c>
      <c r="H671">
        <v>4699.72</v>
      </c>
    </row>
    <row r="672" spans="1:8">
      <c r="A672" s="220">
        <v>43466</v>
      </c>
      <c r="B672" s="220">
        <v>43830</v>
      </c>
      <c r="C672" s="56" t="s">
        <v>5</v>
      </c>
      <c r="D672" s="56" t="s">
        <v>9</v>
      </c>
      <c r="E672" s="56">
        <v>2019</v>
      </c>
      <c r="F672" s="56">
        <v>734.22</v>
      </c>
      <c r="G672" t="s">
        <v>232</v>
      </c>
      <c r="H672">
        <v>955.92</v>
      </c>
    </row>
    <row r="673" spans="1:8">
      <c r="A673" s="220">
        <v>43466</v>
      </c>
      <c r="B673" s="220">
        <v>43830</v>
      </c>
      <c r="C673" s="56" t="s">
        <v>5</v>
      </c>
      <c r="D673" s="56" t="s">
        <v>9</v>
      </c>
      <c r="E673" s="56">
        <v>2019</v>
      </c>
      <c r="F673" s="56">
        <v>24406.28</v>
      </c>
      <c r="G673" t="s">
        <v>232</v>
      </c>
      <c r="H673">
        <v>31775.86</v>
      </c>
    </row>
    <row r="674" spans="1:8">
      <c r="A674" s="220">
        <v>43466</v>
      </c>
      <c r="B674" s="220">
        <v>43830</v>
      </c>
      <c r="C674" s="56" t="s">
        <v>5</v>
      </c>
      <c r="D674" s="56" t="s">
        <v>9</v>
      </c>
      <c r="E674" s="56">
        <v>2019</v>
      </c>
      <c r="F674" s="56">
        <v>734.22</v>
      </c>
      <c r="G674" t="s">
        <v>232</v>
      </c>
      <c r="H674">
        <v>955.92</v>
      </c>
    </row>
    <row r="675" spans="1:8">
      <c r="A675" s="220">
        <v>43831</v>
      </c>
      <c r="B675" s="220">
        <v>44196</v>
      </c>
      <c r="C675" s="56" t="s">
        <v>5</v>
      </c>
      <c r="D675" s="56" t="s">
        <v>9</v>
      </c>
      <c r="E675" s="56">
        <v>2020</v>
      </c>
      <c r="F675" s="56">
        <v>711.9</v>
      </c>
      <c r="G675" t="s">
        <v>232</v>
      </c>
      <c r="H675">
        <v>990.63</v>
      </c>
    </row>
    <row r="676" spans="1:8">
      <c r="A676" s="220">
        <v>43831</v>
      </c>
      <c r="B676" s="220">
        <v>44196</v>
      </c>
      <c r="C676" s="56" t="s">
        <v>5</v>
      </c>
      <c r="D676" s="56" t="s">
        <v>9</v>
      </c>
      <c r="E676" s="56">
        <v>2020</v>
      </c>
      <c r="F676" s="56">
        <v>1637.72</v>
      </c>
      <c r="G676" t="s">
        <v>232</v>
      </c>
      <c r="H676">
        <v>2278.92</v>
      </c>
    </row>
    <row r="677" spans="1:8">
      <c r="A677" s="220">
        <v>43466</v>
      </c>
      <c r="B677" s="220">
        <v>43830</v>
      </c>
      <c r="C677" s="56" t="s">
        <v>5</v>
      </c>
      <c r="D677" s="56" t="s">
        <v>9</v>
      </c>
      <c r="E677" s="56">
        <v>2019</v>
      </c>
      <c r="F677" s="56">
        <v>3448.79</v>
      </c>
      <c r="G677" t="s">
        <v>232</v>
      </c>
      <c r="H677">
        <v>4490.16</v>
      </c>
    </row>
    <row r="678" spans="1:8">
      <c r="A678" s="220">
        <v>43831</v>
      </c>
      <c r="B678" s="220">
        <v>44196</v>
      </c>
      <c r="C678" s="56" t="s">
        <v>5</v>
      </c>
      <c r="D678" s="56" t="s">
        <v>9</v>
      </c>
      <c r="E678" s="56">
        <v>2020</v>
      </c>
      <c r="F678" s="56">
        <v>530.01</v>
      </c>
      <c r="G678" t="s">
        <v>232</v>
      </c>
      <c r="H678">
        <v>737.52</v>
      </c>
    </row>
    <row r="679" spans="1:8">
      <c r="A679" s="220">
        <v>43831</v>
      </c>
      <c r="B679" s="220">
        <v>44196</v>
      </c>
      <c r="C679" s="56" t="s">
        <v>5</v>
      </c>
      <c r="D679" s="56" t="s">
        <v>9</v>
      </c>
      <c r="E679" s="56">
        <v>2020</v>
      </c>
      <c r="F679" s="56">
        <v>488.96</v>
      </c>
      <c r="G679" t="s">
        <v>232</v>
      </c>
      <c r="H679">
        <v>680.4</v>
      </c>
    </row>
    <row r="680" spans="1:8">
      <c r="A680" s="220">
        <v>43466</v>
      </c>
      <c r="B680" s="220">
        <v>43830</v>
      </c>
      <c r="C680" s="56" t="s">
        <v>5</v>
      </c>
      <c r="D680" s="56" t="s">
        <v>9</v>
      </c>
      <c r="E680" s="56">
        <v>2019</v>
      </c>
      <c r="F680" s="56">
        <v>543.79999999999995</v>
      </c>
      <c r="G680" t="s">
        <v>232</v>
      </c>
      <c r="H680">
        <v>708</v>
      </c>
    </row>
    <row r="681" spans="1:8">
      <c r="A681" s="220">
        <v>43831</v>
      </c>
      <c r="B681" s="220">
        <v>44196</v>
      </c>
      <c r="C681" s="56" t="s">
        <v>5</v>
      </c>
      <c r="D681" s="56" t="s">
        <v>9</v>
      </c>
      <c r="E681" s="56">
        <v>2020</v>
      </c>
      <c r="F681" s="56">
        <v>3343.62</v>
      </c>
      <c r="G681" t="s">
        <v>232</v>
      </c>
      <c r="H681">
        <v>4652.72</v>
      </c>
    </row>
    <row r="682" spans="1:8">
      <c r="A682" s="220">
        <v>43831</v>
      </c>
      <c r="B682" s="220">
        <v>44196</v>
      </c>
      <c r="C682" s="56" t="s">
        <v>5</v>
      </c>
      <c r="D682" s="56" t="s">
        <v>9</v>
      </c>
      <c r="E682" s="56">
        <v>2020</v>
      </c>
      <c r="F682" s="56">
        <v>2171.09</v>
      </c>
      <c r="G682" t="s">
        <v>232</v>
      </c>
      <c r="H682">
        <v>3021.12</v>
      </c>
    </row>
    <row r="683" spans="1:8">
      <c r="A683" s="220">
        <v>43466</v>
      </c>
      <c r="B683" s="220">
        <v>43830</v>
      </c>
      <c r="C683" s="56" t="s">
        <v>5</v>
      </c>
      <c r="D683" s="56" t="s">
        <v>9</v>
      </c>
      <c r="E683" s="56">
        <v>2019</v>
      </c>
      <c r="F683" s="56">
        <v>1816.47</v>
      </c>
      <c r="G683" t="s">
        <v>232</v>
      </c>
      <c r="H683">
        <v>2364.96</v>
      </c>
    </row>
    <row r="684" spans="1:8">
      <c r="A684" s="220">
        <v>43466</v>
      </c>
      <c r="B684" s="220">
        <v>43830</v>
      </c>
      <c r="C684" s="56" t="s">
        <v>5</v>
      </c>
      <c r="D684" s="56" t="s">
        <v>9</v>
      </c>
      <c r="E684" s="56">
        <v>2019</v>
      </c>
      <c r="F684" s="56">
        <v>599.34</v>
      </c>
      <c r="G684" t="s">
        <v>232</v>
      </c>
      <c r="H684">
        <v>780.31</v>
      </c>
    </row>
    <row r="685" spans="1:8">
      <c r="A685" s="220">
        <v>43831</v>
      </c>
      <c r="B685" s="220">
        <v>44196</v>
      </c>
      <c r="C685" s="56" t="s">
        <v>5</v>
      </c>
      <c r="D685" s="56" t="s">
        <v>9</v>
      </c>
      <c r="E685" s="56">
        <v>2020</v>
      </c>
      <c r="F685" s="56">
        <v>678.39</v>
      </c>
      <c r="G685" t="s">
        <v>232</v>
      </c>
      <c r="H685">
        <v>944</v>
      </c>
    </row>
    <row r="686" spans="1:8">
      <c r="A686" s="220">
        <v>43831</v>
      </c>
      <c r="B686" s="220">
        <v>44196</v>
      </c>
      <c r="C686" s="56" t="s">
        <v>5</v>
      </c>
      <c r="D686" s="56" t="s">
        <v>9</v>
      </c>
      <c r="E686" s="56">
        <v>2020</v>
      </c>
      <c r="F686" s="56">
        <v>586.24</v>
      </c>
      <c r="G686" t="s">
        <v>232</v>
      </c>
      <c r="H686">
        <v>815.76</v>
      </c>
    </row>
    <row r="687" spans="1:8">
      <c r="A687" s="220">
        <v>43831</v>
      </c>
      <c r="B687" s="220">
        <v>44196</v>
      </c>
      <c r="C687" s="56" t="s">
        <v>5</v>
      </c>
      <c r="D687" s="56" t="s">
        <v>9</v>
      </c>
      <c r="E687" s="56">
        <v>2020</v>
      </c>
      <c r="F687" s="56">
        <v>548.98</v>
      </c>
      <c r="G687" t="s">
        <v>232</v>
      </c>
      <c r="H687">
        <v>763.92</v>
      </c>
    </row>
    <row r="688" spans="1:8">
      <c r="A688" s="220">
        <v>43831</v>
      </c>
      <c r="B688" s="220">
        <v>44196</v>
      </c>
      <c r="C688" s="56" t="s">
        <v>5</v>
      </c>
      <c r="D688" s="56" t="s">
        <v>9</v>
      </c>
      <c r="E688" s="56">
        <v>2020</v>
      </c>
      <c r="F688" s="56">
        <v>1898.41</v>
      </c>
      <c r="G688" t="s">
        <v>232</v>
      </c>
      <c r="H688">
        <v>2641.68</v>
      </c>
    </row>
    <row r="689" spans="1:8">
      <c r="A689" s="220">
        <v>43831</v>
      </c>
      <c r="B689" s="220">
        <v>44196</v>
      </c>
      <c r="C689" s="56" t="s">
        <v>5</v>
      </c>
      <c r="D689" s="56" t="s">
        <v>9</v>
      </c>
      <c r="E689" s="56">
        <v>2020</v>
      </c>
      <c r="F689" s="56">
        <v>586.24</v>
      </c>
      <c r="G689" t="s">
        <v>232</v>
      </c>
      <c r="H689">
        <v>815.76</v>
      </c>
    </row>
    <row r="690" spans="1:8">
      <c r="A690" s="220">
        <v>43831</v>
      </c>
      <c r="B690" s="220">
        <v>44196</v>
      </c>
      <c r="C690" s="56" t="s">
        <v>5</v>
      </c>
      <c r="D690" s="56" t="s">
        <v>9</v>
      </c>
      <c r="E690" s="56">
        <v>2020</v>
      </c>
      <c r="F690" s="56">
        <v>681.1</v>
      </c>
      <c r="G690" t="s">
        <v>232</v>
      </c>
      <c r="H690">
        <v>947.76</v>
      </c>
    </row>
    <row r="691" spans="1:8">
      <c r="A691" s="220">
        <v>43466</v>
      </c>
      <c r="B691" s="220">
        <v>43830</v>
      </c>
      <c r="C691" s="56" t="s">
        <v>5</v>
      </c>
      <c r="D691" s="56" t="s">
        <v>9</v>
      </c>
      <c r="E691" s="56">
        <v>2019</v>
      </c>
      <c r="F691" s="56">
        <v>870.26</v>
      </c>
      <c r="G691" t="s">
        <v>232</v>
      </c>
      <c r="H691">
        <v>1133.04</v>
      </c>
    </row>
    <row r="692" spans="1:8">
      <c r="A692" s="220">
        <v>43831</v>
      </c>
      <c r="B692" s="220">
        <v>44196</v>
      </c>
      <c r="C692" s="56" t="s">
        <v>5</v>
      </c>
      <c r="D692" s="56" t="s">
        <v>9</v>
      </c>
      <c r="E692" s="56">
        <v>2020</v>
      </c>
      <c r="F692" s="56">
        <v>1503.45</v>
      </c>
      <c r="G692" t="s">
        <v>232</v>
      </c>
      <c r="H692">
        <v>2092.08</v>
      </c>
    </row>
    <row r="693" spans="1:8">
      <c r="A693" s="220">
        <v>43831</v>
      </c>
      <c r="B693" s="220">
        <v>44196</v>
      </c>
      <c r="C693" s="56" t="s">
        <v>5</v>
      </c>
      <c r="D693" s="56" t="s">
        <v>9</v>
      </c>
      <c r="E693" s="56">
        <v>2020</v>
      </c>
      <c r="F693" s="56">
        <v>5384.21</v>
      </c>
      <c r="G693" t="s">
        <v>232</v>
      </c>
      <c r="H693">
        <v>7492.26</v>
      </c>
    </row>
    <row r="694" spans="1:8">
      <c r="A694" s="220">
        <v>43831</v>
      </c>
      <c r="B694" s="220">
        <v>44196</v>
      </c>
      <c r="C694" s="56" t="s">
        <v>5</v>
      </c>
      <c r="D694" s="56" t="s">
        <v>9</v>
      </c>
      <c r="E694" s="56">
        <v>2020</v>
      </c>
      <c r="F694" s="56">
        <v>2470.41</v>
      </c>
      <c r="G694" t="s">
        <v>232</v>
      </c>
      <c r="H694">
        <v>3437.64</v>
      </c>
    </row>
    <row r="695" spans="1:8">
      <c r="A695" s="220">
        <v>43466</v>
      </c>
      <c r="B695" s="220">
        <v>43830</v>
      </c>
      <c r="C695" s="56" t="s">
        <v>5</v>
      </c>
      <c r="D695" s="56" t="s">
        <v>9</v>
      </c>
      <c r="E695" s="56">
        <v>2019</v>
      </c>
      <c r="F695" s="56">
        <v>497.07</v>
      </c>
      <c r="G695" t="s">
        <v>232</v>
      </c>
      <c r="H695">
        <v>647.16</v>
      </c>
    </row>
    <row r="696" spans="1:8">
      <c r="A696" s="220">
        <v>43831</v>
      </c>
      <c r="B696" s="220">
        <v>44196</v>
      </c>
      <c r="C696" s="56" t="s">
        <v>5</v>
      </c>
      <c r="D696" s="56" t="s">
        <v>9</v>
      </c>
      <c r="E696" s="56">
        <v>2020</v>
      </c>
      <c r="F696" s="56">
        <v>688.17</v>
      </c>
      <c r="G696" t="s">
        <v>232</v>
      </c>
      <c r="H696">
        <v>957.6</v>
      </c>
    </row>
    <row r="697" spans="1:8">
      <c r="A697" s="220">
        <v>43466</v>
      </c>
      <c r="B697" s="220">
        <v>43830</v>
      </c>
      <c r="C697" s="56" t="s">
        <v>5</v>
      </c>
      <c r="D697" s="56" t="s">
        <v>9</v>
      </c>
      <c r="E697" s="56">
        <v>2019</v>
      </c>
      <c r="F697" s="56">
        <v>497.07</v>
      </c>
      <c r="G697" t="s">
        <v>232</v>
      </c>
      <c r="H697">
        <v>647.16</v>
      </c>
    </row>
    <row r="698" spans="1:8">
      <c r="A698" s="220">
        <v>43466</v>
      </c>
      <c r="B698" s="220">
        <v>43830</v>
      </c>
      <c r="C698" s="56" t="s">
        <v>5</v>
      </c>
      <c r="D698" s="56" t="s">
        <v>9</v>
      </c>
      <c r="E698" s="56">
        <v>2019</v>
      </c>
      <c r="F698" s="56">
        <v>717.17</v>
      </c>
      <c r="G698" t="s">
        <v>232</v>
      </c>
      <c r="H698">
        <v>933.72</v>
      </c>
    </row>
    <row r="699" spans="1:8">
      <c r="A699" s="220">
        <v>43466</v>
      </c>
      <c r="B699" s="220">
        <v>43830</v>
      </c>
      <c r="C699" s="56" t="s">
        <v>5</v>
      </c>
      <c r="D699" s="56" t="s">
        <v>9</v>
      </c>
      <c r="E699" s="56">
        <v>2019</v>
      </c>
      <c r="F699" s="56">
        <v>19.43</v>
      </c>
      <c r="G699" t="s">
        <v>232</v>
      </c>
      <c r="H699">
        <v>25.3</v>
      </c>
    </row>
    <row r="700" spans="1:8">
      <c r="A700" s="220">
        <v>43466</v>
      </c>
      <c r="B700" s="220">
        <v>43830</v>
      </c>
      <c r="C700" s="56" t="s">
        <v>5</v>
      </c>
      <c r="D700" s="56" t="s">
        <v>9</v>
      </c>
      <c r="E700" s="56">
        <v>2019</v>
      </c>
      <c r="F700" s="56">
        <v>773.48</v>
      </c>
      <c r="G700" t="s">
        <v>232</v>
      </c>
      <c r="H700">
        <v>1007.04</v>
      </c>
    </row>
    <row r="701" spans="1:8">
      <c r="A701" s="220">
        <v>43831</v>
      </c>
      <c r="B701" s="220">
        <v>44196</v>
      </c>
      <c r="C701" s="56" t="s">
        <v>5</v>
      </c>
      <c r="D701" s="56" t="s">
        <v>9</v>
      </c>
      <c r="E701" s="56">
        <v>2020</v>
      </c>
      <c r="F701" s="56">
        <v>1113.92</v>
      </c>
      <c r="G701" t="s">
        <v>232</v>
      </c>
      <c r="H701">
        <v>1550.04</v>
      </c>
    </row>
    <row r="702" spans="1:8">
      <c r="A702" s="220">
        <v>43831</v>
      </c>
      <c r="B702" s="220">
        <v>44196</v>
      </c>
      <c r="C702" s="56" t="s">
        <v>5</v>
      </c>
      <c r="D702" s="56" t="s">
        <v>9</v>
      </c>
      <c r="E702" s="56">
        <v>2020</v>
      </c>
      <c r="F702" s="56">
        <v>2042.53</v>
      </c>
      <c r="G702" t="s">
        <v>232</v>
      </c>
      <c r="H702">
        <v>2842.23</v>
      </c>
    </row>
    <row r="703" spans="1:8">
      <c r="A703" s="220">
        <v>43466</v>
      </c>
      <c r="B703" s="220">
        <v>43830</v>
      </c>
      <c r="C703" s="56" t="s">
        <v>5</v>
      </c>
      <c r="D703" s="56" t="s">
        <v>9</v>
      </c>
      <c r="E703" s="56">
        <v>2019</v>
      </c>
      <c r="F703" s="56">
        <v>204.42</v>
      </c>
      <c r="G703" t="s">
        <v>232</v>
      </c>
      <c r="H703">
        <v>266.14999999999998</v>
      </c>
    </row>
    <row r="704" spans="1:8">
      <c r="A704" s="220">
        <v>43466</v>
      </c>
      <c r="B704" s="220">
        <v>43830</v>
      </c>
      <c r="C704" s="56" t="s">
        <v>5</v>
      </c>
      <c r="D704" s="56" t="s">
        <v>9</v>
      </c>
      <c r="E704" s="56">
        <v>2019</v>
      </c>
      <c r="F704" s="56">
        <v>554.01</v>
      </c>
      <c r="G704" t="s">
        <v>232</v>
      </c>
      <c r="H704">
        <v>721.29</v>
      </c>
    </row>
    <row r="705" spans="1:8">
      <c r="A705" s="220">
        <v>43831</v>
      </c>
      <c r="B705" s="220">
        <v>44196</v>
      </c>
      <c r="C705" s="56" t="s">
        <v>5</v>
      </c>
      <c r="D705" s="56" t="s">
        <v>9</v>
      </c>
      <c r="E705" s="56">
        <v>2020</v>
      </c>
      <c r="F705" s="56">
        <v>1113.92</v>
      </c>
      <c r="G705" t="s">
        <v>232</v>
      </c>
      <c r="H705">
        <v>1550.04</v>
      </c>
    </row>
    <row r="706" spans="1:8">
      <c r="A706" s="220">
        <v>43466</v>
      </c>
      <c r="B706" s="220">
        <v>43830</v>
      </c>
      <c r="C706" s="56" t="s">
        <v>5</v>
      </c>
      <c r="D706" s="56" t="s">
        <v>9</v>
      </c>
      <c r="E706" s="56">
        <v>2019</v>
      </c>
      <c r="F706" s="56">
        <v>908.23</v>
      </c>
      <c r="G706" t="s">
        <v>232</v>
      </c>
      <c r="H706">
        <v>1182.48</v>
      </c>
    </row>
    <row r="707" spans="1:8">
      <c r="A707" s="220">
        <v>43466</v>
      </c>
      <c r="B707" s="220">
        <v>43830</v>
      </c>
      <c r="C707" s="56" t="s">
        <v>5</v>
      </c>
      <c r="D707" s="56" t="s">
        <v>9</v>
      </c>
      <c r="E707" s="56">
        <v>2019</v>
      </c>
      <c r="F707" s="56">
        <v>637.79999999999995</v>
      </c>
      <c r="G707" t="s">
        <v>232</v>
      </c>
      <c r="H707">
        <v>830.38</v>
      </c>
    </row>
    <row r="708" spans="1:8">
      <c r="A708" s="220">
        <v>43831</v>
      </c>
      <c r="B708" s="220">
        <v>44196</v>
      </c>
      <c r="C708" s="56" t="s">
        <v>5</v>
      </c>
      <c r="D708" s="56" t="s">
        <v>9</v>
      </c>
      <c r="E708" s="56">
        <v>2020</v>
      </c>
      <c r="F708" s="56">
        <v>949.2</v>
      </c>
      <c r="G708" t="s">
        <v>232</v>
      </c>
      <c r="H708">
        <v>1320.84</v>
      </c>
    </row>
    <row r="709" spans="1:8">
      <c r="A709" s="220">
        <v>43466</v>
      </c>
      <c r="B709" s="220">
        <v>43830</v>
      </c>
      <c r="C709" s="56" t="s">
        <v>5</v>
      </c>
      <c r="D709" s="56" t="s">
        <v>9</v>
      </c>
      <c r="E709" s="56">
        <v>2019</v>
      </c>
      <c r="F709" s="56">
        <v>849.64</v>
      </c>
      <c r="G709" t="s">
        <v>232</v>
      </c>
      <c r="H709">
        <v>1106.19</v>
      </c>
    </row>
    <row r="710" spans="1:8">
      <c r="A710" s="220">
        <v>43466</v>
      </c>
      <c r="B710" s="220">
        <v>43830</v>
      </c>
      <c r="C710" s="56" t="s">
        <v>5</v>
      </c>
      <c r="D710" s="56" t="s">
        <v>9</v>
      </c>
      <c r="E710" s="56">
        <v>2019</v>
      </c>
      <c r="F710" s="56">
        <v>1583.1</v>
      </c>
      <c r="G710" t="s">
        <v>232</v>
      </c>
      <c r="H710">
        <v>2061.12</v>
      </c>
    </row>
    <row r="711" spans="1:8">
      <c r="A711" s="220">
        <v>43831</v>
      </c>
      <c r="B711" s="220">
        <v>44196</v>
      </c>
      <c r="C711" s="56" t="s">
        <v>5</v>
      </c>
      <c r="D711" s="56" t="s">
        <v>9</v>
      </c>
      <c r="E711" s="56">
        <v>2020</v>
      </c>
      <c r="F711" s="56">
        <v>723.7</v>
      </c>
      <c r="G711" t="s">
        <v>232</v>
      </c>
      <c r="H711">
        <v>1007.04</v>
      </c>
    </row>
    <row r="712" spans="1:8">
      <c r="A712" s="220">
        <v>43466</v>
      </c>
      <c r="B712" s="220">
        <v>43830</v>
      </c>
      <c r="C712" s="56" t="s">
        <v>5</v>
      </c>
      <c r="D712" s="56" t="s">
        <v>9</v>
      </c>
      <c r="E712" s="56">
        <v>2019</v>
      </c>
      <c r="F712" s="56">
        <v>2642.74</v>
      </c>
      <c r="G712" t="s">
        <v>232</v>
      </c>
      <c r="H712">
        <v>3440.72</v>
      </c>
    </row>
    <row r="713" spans="1:8">
      <c r="A713" s="220">
        <v>43831</v>
      </c>
      <c r="B713" s="220">
        <v>44196</v>
      </c>
      <c r="C713" s="56" t="s">
        <v>5</v>
      </c>
      <c r="D713" s="56" t="s">
        <v>9</v>
      </c>
      <c r="E713" s="56">
        <v>2020</v>
      </c>
      <c r="F713" s="56">
        <v>2273.02</v>
      </c>
      <c r="G713" t="s">
        <v>232</v>
      </c>
      <c r="H713">
        <v>3162.96</v>
      </c>
    </row>
    <row r="714" spans="1:8">
      <c r="A714" s="220">
        <v>43831</v>
      </c>
      <c r="B714" s="220">
        <v>44196</v>
      </c>
      <c r="C714" s="56" t="s">
        <v>5</v>
      </c>
      <c r="D714" s="56" t="s">
        <v>9</v>
      </c>
      <c r="E714" s="56">
        <v>2020</v>
      </c>
      <c r="F714" s="56">
        <v>2255.17</v>
      </c>
      <c r="G714" t="s">
        <v>232</v>
      </c>
      <c r="H714">
        <v>3138.12</v>
      </c>
    </row>
    <row r="715" spans="1:8">
      <c r="A715" s="220">
        <v>43466</v>
      </c>
      <c r="B715" s="220">
        <v>43830</v>
      </c>
      <c r="C715" s="56" t="s">
        <v>5</v>
      </c>
      <c r="D715" s="56" t="s">
        <v>9</v>
      </c>
      <c r="E715" s="56">
        <v>2019</v>
      </c>
      <c r="F715" s="56">
        <v>626.29</v>
      </c>
      <c r="G715" t="s">
        <v>232</v>
      </c>
      <c r="H715">
        <v>815.4</v>
      </c>
    </row>
    <row r="716" spans="1:8">
      <c r="A716" s="220">
        <v>43831</v>
      </c>
      <c r="B716" s="220">
        <v>44196</v>
      </c>
      <c r="C716" s="56" t="s">
        <v>5</v>
      </c>
      <c r="D716" s="56" t="s">
        <v>9</v>
      </c>
      <c r="E716" s="56">
        <v>2020</v>
      </c>
      <c r="F716" s="56">
        <v>688.17</v>
      </c>
      <c r="G716" t="s">
        <v>232</v>
      </c>
      <c r="H716">
        <v>957.6</v>
      </c>
    </row>
    <row r="717" spans="1:8">
      <c r="A717" s="220">
        <v>43831</v>
      </c>
      <c r="B717" s="220">
        <v>44196</v>
      </c>
      <c r="C717" s="56" t="s">
        <v>5</v>
      </c>
      <c r="D717" s="56" t="s">
        <v>9</v>
      </c>
      <c r="E717" s="56">
        <v>2020</v>
      </c>
      <c r="F717" s="56">
        <v>1054.73</v>
      </c>
      <c r="G717" t="s">
        <v>232</v>
      </c>
      <c r="H717">
        <v>1467.68</v>
      </c>
    </row>
    <row r="718" spans="1:8">
      <c r="A718" s="220">
        <v>43466</v>
      </c>
      <c r="B718" s="220">
        <v>43830</v>
      </c>
      <c r="C718" s="56" t="s">
        <v>5</v>
      </c>
      <c r="D718" s="56" t="s">
        <v>9</v>
      </c>
      <c r="E718" s="56">
        <v>2019</v>
      </c>
      <c r="F718" s="56">
        <v>1172.8499999999999</v>
      </c>
      <c r="G718" t="s">
        <v>232</v>
      </c>
      <c r="H718">
        <v>1527</v>
      </c>
    </row>
    <row r="719" spans="1:8">
      <c r="A719" s="220">
        <v>43831</v>
      </c>
      <c r="B719" s="220">
        <v>44196</v>
      </c>
      <c r="C719" s="56" t="s">
        <v>5</v>
      </c>
      <c r="D719" s="56" t="s">
        <v>9</v>
      </c>
      <c r="E719" s="56">
        <v>2020</v>
      </c>
      <c r="F719" s="56">
        <v>2227.83</v>
      </c>
      <c r="G719" t="s">
        <v>232</v>
      </c>
      <c r="H719">
        <v>3100.08</v>
      </c>
    </row>
    <row r="720" spans="1:8">
      <c r="A720" s="220">
        <v>43466</v>
      </c>
      <c r="B720" s="220">
        <v>43830</v>
      </c>
      <c r="C720" s="56" t="s">
        <v>5</v>
      </c>
      <c r="D720" s="56" t="s">
        <v>9</v>
      </c>
      <c r="E720" s="56">
        <v>2019</v>
      </c>
      <c r="F720" s="56">
        <v>1199.49</v>
      </c>
      <c r="G720" t="s">
        <v>232</v>
      </c>
      <c r="H720">
        <v>1561.68</v>
      </c>
    </row>
    <row r="721" spans="1:8">
      <c r="A721" s="220">
        <v>43466</v>
      </c>
      <c r="B721" s="220">
        <v>43830</v>
      </c>
      <c r="C721" s="56" t="s">
        <v>5</v>
      </c>
      <c r="D721" s="56" t="s">
        <v>9</v>
      </c>
      <c r="E721" s="56">
        <v>2019</v>
      </c>
      <c r="F721" s="56">
        <v>383.42</v>
      </c>
      <c r="G721" t="s">
        <v>232</v>
      </c>
      <c r="H721">
        <v>499.2</v>
      </c>
    </row>
    <row r="722" spans="1:8">
      <c r="A722" s="220">
        <v>43466</v>
      </c>
      <c r="B722" s="220">
        <v>43830</v>
      </c>
      <c r="C722" s="56" t="s">
        <v>5</v>
      </c>
      <c r="D722" s="56" t="s">
        <v>9</v>
      </c>
      <c r="E722" s="56">
        <v>2019</v>
      </c>
      <c r="F722" s="56">
        <v>1374.16</v>
      </c>
      <c r="G722" t="s">
        <v>232</v>
      </c>
      <c r="H722">
        <v>1789.09</v>
      </c>
    </row>
    <row r="723" spans="1:8">
      <c r="A723" s="220">
        <v>43831</v>
      </c>
      <c r="B723" s="220">
        <v>44196</v>
      </c>
      <c r="C723" s="56" t="s">
        <v>5</v>
      </c>
      <c r="D723" s="56" t="s">
        <v>9</v>
      </c>
      <c r="E723" s="56">
        <v>2020</v>
      </c>
      <c r="F723" s="56">
        <v>715.07</v>
      </c>
      <c r="G723" t="s">
        <v>232</v>
      </c>
      <c r="H723">
        <v>995.04</v>
      </c>
    </row>
    <row r="724" spans="1:8">
      <c r="A724" s="220">
        <v>43466</v>
      </c>
      <c r="B724" s="220">
        <v>43830</v>
      </c>
      <c r="C724" s="56" t="s">
        <v>5</v>
      </c>
      <c r="D724" s="56" t="s">
        <v>9</v>
      </c>
      <c r="E724" s="56">
        <v>2019</v>
      </c>
      <c r="F724" s="56">
        <v>797.72</v>
      </c>
      <c r="G724" t="s">
        <v>232</v>
      </c>
      <c r="H724">
        <v>1038.5999999999999</v>
      </c>
    </row>
    <row r="725" spans="1:8">
      <c r="A725" s="220">
        <v>43466</v>
      </c>
      <c r="B725" s="220">
        <v>43830</v>
      </c>
      <c r="C725" s="56" t="s">
        <v>5</v>
      </c>
      <c r="D725" s="56" t="s">
        <v>9</v>
      </c>
      <c r="E725" s="56">
        <v>2019</v>
      </c>
      <c r="F725" s="56">
        <v>492</v>
      </c>
      <c r="G725" t="s">
        <v>232</v>
      </c>
      <c r="H725">
        <v>640.55999999999995</v>
      </c>
    </row>
    <row r="726" spans="1:8">
      <c r="A726" s="220">
        <v>43466</v>
      </c>
      <c r="B726" s="220">
        <v>43830</v>
      </c>
      <c r="C726" s="56" t="s">
        <v>5</v>
      </c>
      <c r="D726" s="56" t="s">
        <v>9</v>
      </c>
      <c r="E726" s="56">
        <v>2019</v>
      </c>
      <c r="F726" s="56">
        <v>535.69000000000005</v>
      </c>
      <c r="G726" t="s">
        <v>232</v>
      </c>
      <c r="H726">
        <v>697.44</v>
      </c>
    </row>
    <row r="727" spans="1:8">
      <c r="A727" s="220">
        <v>43466</v>
      </c>
      <c r="B727" s="220">
        <v>43830</v>
      </c>
      <c r="C727" s="56" t="s">
        <v>5</v>
      </c>
      <c r="D727" s="56" t="s">
        <v>9</v>
      </c>
      <c r="E727" s="56">
        <v>2019</v>
      </c>
      <c r="F727" s="56">
        <v>1137.6400000000001</v>
      </c>
      <c r="G727" t="s">
        <v>232</v>
      </c>
      <c r="H727">
        <v>1481.16</v>
      </c>
    </row>
    <row r="728" spans="1:8">
      <c r="A728" s="220">
        <v>43831</v>
      </c>
      <c r="B728" s="220">
        <v>44196</v>
      </c>
      <c r="C728" s="56" t="s">
        <v>5</v>
      </c>
      <c r="D728" s="56" t="s">
        <v>9</v>
      </c>
      <c r="E728" s="56">
        <v>2020</v>
      </c>
      <c r="F728" s="56">
        <v>2397.1999999999998</v>
      </c>
      <c r="G728" t="s">
        <v>232</v>
      </c>
      <c r="H728">
        <v>3335.76</v>
      </c>
    </row>
    <row r="729" spans="1:8">
      <c r="A729" s="220">
        <v>43831</v>
      </c>
      <c r="B729" s="220">
        <v>44196</v>
      </c>
      <c r="C729" s="56" t="s">
        <v>5</v>
      </c>
      <c r="D729" s="56" t="s">
        <v>9</v>
      </c>
      <c r="E729" s="56">
        <v>2020</v>
      </c>
      <c r="F729" s="56">
        <v>842.53</v>
      </c>
      <c r="G729" t="s">
        <v>232</v>
      </c>
      <c r="H729">
        <v>1172.4000000000001</v>
      </c>
    </row>
    <row r="730" spans="1:8">
      <c r="A730" s="220">
        <v>43831</v>
      </c>
      <c r="B730" s="220">
        <v>44196</v>
      </c>
      <c r="C730" s="56" t="s">
        <v>5</v>
      </c>
      <c r="D730" s="56" t="s">
        <v>9</v>
      </c>
      <c r="E730" s="56">
        <v>2020</v>
      </c>
      <c r="F730" s="56">
        <v>2203.94</v>
      </c>
      <c r="G730" t="s">
        <v>232</v>
      </c>
      <c r="H730">
        <v>3066.84</v>
      </c>
    </row>
    <row r="731" spans="1:8">
      <c r="A731" s="220">
        <v>43466</v>
      </c>
      <c r="B731" s="220">
        <v>43830</v>
      </c>
      <c r="C731" s="56" t="s">
        <v>5</v>
      </c>
      <c r="D731" s="56" t="s">
        <v>9</v>
      </c>
      <c r="E731" s="56">
        <v>2019</v>
      </c>
      <c r="F731" s="56">
        <v>298.67</v>
      </c>
      <c r="G731" t="s">
        <v>232</v>
      </c>
      <c r="H731">
        <v>388.85</v>
      </c>
    </row>
    <row r="732" spans="1:8">
      <c r="A732" s="220">
        <v>43831</v>
      </c>
      <c r="B732" s="220">
        <v>44196</v>
      </c>
      <c r="C732" s="56" t="s">
        <v>5</v>
      </c>
      <c r="D732" s="56" t="s">
        <v>9</v>
      </c>
      <c r="E732" s="56">
        <v>2020</v>
      </c>
      <c r="F732" s="56">
        <v>585.92999999999995</v>
      </c>
      <c r="G732" t="s">
        <v>232</v>
      </c>
      <c r="H732">
        <v>815.33</v>
      </c>
    </row>
    <row r="733" spans="1:8">
      <c r="A733" s="220">
        <v>43466</v>
      </c>
      <c r="B733" s="220">
        <v>43830</v>
      </c>
      <c r="C733" s="56" t="s">
        <v>5</v>
      </c>
      <c r="D733" s="56" t="s">
        <v>9</v>
      </c>
      <c r="E733" s="56">
        <v>2019</v>
      </c>
      <c r="F733" s="56">
        <v>1674.25</v>
      </c>
      <c r="G733" t="s">
        <v>232</v>
      </c>
      <c r="H733">
        <v>2179.8000000000002</v>
      </c>
    </row>
    <row r="734" spans="1:8">
      <c r="A734" s="220">
        <v>43466</v>
      </c>
      <c r="B734" s="220">
        <v>43830</v>
      </c>
      <c r="C734" s="56" t="s">
        <v>5</v>
      </c>
      <c r="D734" s="56" t="s">
        <v>9</v>
      </c>
      <c r="E734" s="56">
        <v>2019</v>
      </c>
      <c r="F734" s="56">
        <v>2030.42</v>
      </c>
      <c r="G734" t="s">
        <v>232</v>
      </c>
      <c r="H734">
        <v>2643.51</v>
      </c>
    </row>
    <row r="735" spans="1:8">
      <c r="A735" s="220">
        <v>43831</v>
      </c>
      <c r="B735" s="220">
        <v>44196</v>
      </c>
      <c r="C735" s="56" t="s">
        <v>5</v>
      </c>
      <c r="D735" s="56" t="s">
        <v>9</v>
      </c>
      <c r="E735" s="56">
        <v>2020</v>
      </c>
      <c r="F735" s="56">
        <v>2661.34</v>
      </c>
      <c r="G735" t="s">
        <v>232</v>
      </c>
      <c r="H735">
        <v>3703.31</v>
      </c>
    </row>
    <row r="736" spans="1:8">
      <c r="A736" s="220">
        <v>43831</v>
      </c>
      <c r="B736" s="220">
        <v>44196</v>
      </c>
      <c r="C736" s="56" t="s">
        <v>5</v>
      </c>
      <c r="D736" s="56" t="s">
        <v>9</v>
      </c>
      <c r="E736" s="56">
        <v>2020</v>
      </c>
      <c r="F736" s="56">
        <v>1157.8800000000001</v>
      </c>
      <c r="G736" t="s">
        <v>232</v>
      </c>
      <c r="H736">
        <v>1611.22</v>
      </c>
    </row>
    <row r="737" spans="1:8">
      <c r="A737" s="220">
        <v>43466</v>
      </c>
      <c r="B737" s="220">
        <v>43830</v>
      </c>
      <c r="C737" s="56" t="s">
        <v>5</v>
      </c>
      <c r="D737" s="56" t="s">
        <v>9</v>
      </c>
      <c r="E737" s="56">
        <v>2019</v>
      </c>
      <c r="F737" s="56">
        <v>922.21</v>
      </c>
      <c r="G737" t="s">
        <v>232</v>
      </c>
      <c r="H737">
        <v>1200.67</v>
      </c>
    </row>
    <row r="738" spans="1:8">
      <c r="A738" s="220">
        <v>43831</v>
      </c>
      <c r="B738" s="220">
        <v>44196</v>
      </c>
      <c r="C738" s="56" t="s">
        <v>5</v>
      </c>
      <c r="D738" s="56" t="s">
        <v>9</v>
      </c>
      <c r="E738" s="56">
        <v>2020</v>
      </c>
      <c r="F738" s="56">
        <v>516.47</v>
      </c>
      <c r="G738" t="s">
        <v>232</v>
      </c>
      <c r="H738">
        <v>718.68</v>
      </c>
    </row>
    <row r="739" spans="1:8">
      <c r="A739" s="220">
        <v>43466</v>
      </c>
      <c r="B739" s="220">
        <v>43830</v>
      </c>
      <c r="C739" s="56" t="s">
        <v>5</v>
      </c>
      <c r="D739" s="56" t="s">
        <v>9</v>
      </c>
      <c r="E739" s="56">
        <v>2019</v>
      </c>
      <c r="F739" s="56">
        <v>2505.16</v>
      </c>
      <c r="G739" t="s">
        <v>232</v>
      </c>
      <c r="H739">
        <v>3261.6</v>
      </c>
    </row>
    <row r="740" spans="1:8">
      <c r="A740" s="220">
        <v>43831</v>
      </c>
      <c r="B740" s="220">
        <v>44196</v>
      </c>
      <c r="C740" s="56" t="s">
        <v>5</v>
      </c>
      <c r="D740" s="56" t="s">
        <v>9</v>
      </c>
      <c r="E740" s="56">
        <v>2020</v>
      </c>
      <c r="F740" s="56">
        <v>1507.19</v>
      </c>
      <c r="G740" t="s">
        <v>232</v>
      </c>
      <c r="H740">
        <v>2097.29</v>
      </c>
    </row>
    <row r="741" spans="1:8">
      <c r="A741" s="220">
        <v>43831</v>
      </c>
      <c r="B741" s="220">
        <v>44196</v>
      </c>
      <c r="C741" s="56" t="s">
        <v>5</v>
      </c>
      <c r="D741" s="56" t="s">
        <v>9</v>
      </c>
      <c r="E741" s="56">
        <v>2020</v>
      </c>
      <c r="F741" s="56">
        <v>594.77</v>
      </c>
      <c r="G741" t="s">
        <v>232</v>
      </c>
      <c r="H741">
        <v>827.64</v>
      </c>
    </row>
    <row r="742" spans="1:8">
      <c r="A742" s="220">
        <v>43466</v>
      </c>
      <c r="B742" s="220">
        <v>43830</v>
      </c>
      <c r="C742" s="56" t="s">
        <v>5</v>
      </c>
      <c r="D742" s="56" t="s">
        <v>9</v>
      </c>
      <c r="E742" s="56">
        <v>2019</v>
      </c>
      <c r="F742" s="56">
        <v>1423.09</v>
      </c>
      <c r="G742" t="s">
        <v>232</v>
      </c>
      <c r="H742">
        <v>1852.8</v>
      </c>
    </row>
    <row r="743" spans="1:8">
      <c r="A743" s="220">
        <v>43466</v>
      </c>
      <c r="B743" s="220">
        <v>43830</v>
      </c>
      <c r="C743" s="56" t="s">
        <v>5</v>
      </c>
      <c r="D743" s="56" t="s">
        <v>9</v>
      </c>
      <c r="E743" s="56">
        <v>2019</v>
      </c>
      <c r="F743" s="56">
        <v>793.14</v>
      </c>
      <c r="G743" t="s">
        <v>232</v>
      </c>
      <c r="H743">
        <v>1032.6300000000001</v>
      </c>
    </row>
    <row r="744" spans="1:8">
      <c r="A744" s="220">
        <v>43831</v>
      </c>
      <c r="B744" s="220">
        <v>44196</v>
      </c>
      <c r="C744" s="56" t="s">
        <v>5</v>
      </c>
      <c r="D744" s="56" t="s">
        <v>9</v>
      </c>
      <c r="E744" s="56">
        <v>2020</v>
      </c>
      <c r="F744" s="56">
        <v>597.19000000000005</v>
      </c>
      <c r="G744" t="s">
        <v>232</v>
      </c>
      <c r="H744">
        <v>831</v>
      </c>
    </row>
    <row r="745" spans="1:8">
      <c r="A745" s="220">
        <v>43831</v>
      </c>
      <c r="B745" s="220">
        <v>44196</v>
      </c>
      <c r="C745" s="56" t="s">
        <v>5</v>
      </c>
      <c r="D745" s="56" t="s">
        <v>9</v>
      </c>
      <c r="E745" s="56">
        <v>2020</v>
      </c>
      <c r="F745" s="56">
        <v>560.19000000000005</v>
      </c>
      <c r="G745" t="s">
        <v>232</v>
      </c>
      <c r="H745">
        <v>779.52</v>
      </c>
    </row>
    <row r="746" spans="1:8">
      <c r="A746" s="220">
        <v>43831</v>
      </c>
      <c r="B746" s="220">
        <v>44196</v>
      </c>
      <c r="C746" s="56" t="s">
        <v>5</v>
      </c>
      <c r="D746" s="56" t="s">
        <v>9</v>
      </c>
      <c r="E746" s="56">
        <v>2020</v>
      </c>
      <c r="F746" s="56">
        <v>11881.59</v>
      </c>
      <c r="G746" t="s">
        <v>232</v>
      </c>
      <c r="H746">
        <v>16533.509999999998</v>
      </c>
    </row>
    <row r="747" spans="1:8">
      <c r="A747" s="220">
        <v>43466</v>
      </c>
      <c r="B747" s="220">
        <v>43830</v>
      </c>
      <c r="C747" s="56" t="s">
        <v>5</v>
      </c>
      <c r="D747" s="56" t="s">
        <v>9</v>
      </c>
      <c r="E747" s="56">
        <v>2019</v>
      </c>
      <c r="F747" s="56">
        <v>850.08</v>
      </c>
      <c r="G747" t="s">
        <v>232</v>
      </c>
      <c r="H747">
        <v>1106.76</v>
      </c>
    </row>
    <row r="748" spans="1:8">
      <c r="A748" s="220">
        <v>43831</v>
      </c>
      <c r="B748" s="220">
        <v>44196</v>
      </c>
      <c r="C748" s="56" t="s">
        <v>5</v>
      </c>
      <c r="D748" s="56" t="s">
        <v>9</v>
      </c>
      <c r="E748" s="56">
        <v>2020</v>
      </c>
      <c r="F748" s="56">
        <v>305.73</v>
      </c>
      <c r="G748" t="s">
        <v>232</v>
      </c>
      <c r="H748">
        <v>425.43</v>
      </c>
    </row>
    <row r="749" spans="1:8">
      <c r="A749" s="220">
        <v>43831</v>
      </c>
      <c r="B749" s="220">
        <v>44196</v>
      </c>
      <c r="C749" s="56" t="s">
        <v>5</v>
      </c>
      <c r="D749" s="56" t="s">
        <v>9</v>
      </c>
      <c r="E749" s="56">
        <v>2020</v>
      </c>
      <c r="F749" s="56">
        <v>977.92</v>
      </c>
      <c r="G749" t="s">
        <v>232</v>
      </c>
      <c r="H749">
        <v>1360.8</v>
      </c>
    </row>
    <row r="750" spans="1:8">
      <c r="A750" s="220">
        <v>43831</v>
      </c>
      <c r="B750" s="220">
        <v>44196</v>
      </c>
      <c r="C750" s="56" t="s">
        <v>5</v>
      </c>
      <c r="D750" s="56" t="s">
        <v>9</v>
      </c>
      <c r="E750" s="56">
        <v>2020</v>
      </c>
      <c r="F750" s="56">
        <v>516.47</v>
      </c>
      <c r="G750" t="s">
        <v>232</v>
      </c>
      <c r="H750">
        <v>718.68</v>
      </c>
    </row>
    <row r="751" spans="1:8">
      <c r="A751" s="220">
        <v>43466</v>
      </c>
      <c r="B751" s="220">
        <v>43830</v>
      </c>
      <c r="C751" s="56" t="s">
        <v>5</v>
      </c>
      <c r="D751" s="56" t="s">
        <v>9</v>
      </c>
      <c r="E751" s="56">
        <v>2019</v>
      </c>
      <c r="F751" s="56">
        <v>571.47</v>
      </c>
      <c r="G751" t="s">
        <v>232</v>
      </c>
      <c r="H751">
        <v>744.03</v>
      </c>
    </row>
    <row r="752" spans="1:8">
      <c r="A752" s="220">
        <v>43466</v>
      </c>
      <c r="B752" s="220">
        <v>43830</v>
      </c>
      <c r="C752" s="56" t="s">
        <v>5</v>
      </c>
      <c r="D752" s="56" t="s">
        <v>9</v>
      </c>
      <c r="E752" s="56">
        <v>2019</v>
      </c>
      <c r="F752" s="56">
        <v>4691.41</v>
      </c>
      <c r="G752" t="s">
        <v>232</v>
      </c>
      <c r="H752">
        <v>6108</v>
      </c>
    </row>
    <row r="753" spans="1:8">
      <c r="A753" s="220">
        <v>43466</v>
      </c>
      <c r="B753" s="220">
        <v>43830</v>
      </c>
      <c r="C753" s="56" t="s">
        <v>5</v>
      </c>
      <c r="D753" s="56" t="s">
        <v>9</v>
      </c>
      <c r="E753" s="56">
        <v>2019</v>
      </c>
      <c r="F753" s="56">
        <v>105.83</v>
      </c>
      <c r="G753" t="s">
        <v>232</v>
      </c>
      <c r="H753">
        <v>137.78</v>
      </c>
    </row>
    <row r="754" spans="1:8">
      <c r="A754" s="220">
        <v>43466</v>
      </c>
      <c r="B754" s="220">
        <v>43830</v>
      </c>
      <c r="C754" s="56" t="s">
        <v>5</v>
      </c>
      <c r="D754" s="56" t="s">
        <v>9</v>
      </c>
      <c r="E754" s="56">
        <v>2019</v>
      </c>
      <c r="F754" s="56">
        <v>1704.94</v>
      </c>
      <c r="G754" t="s">
        <v>232</v>
      </c>
      <c r="H754">
        <v>2219.7600000000002</v>
      </c>
    </row>
    <row r="755" spans="1:8">
      <c r="A755" s="220">
        <v>43831</v>
      </c>
      <c r="B755" s="220">
        <v>44196</v>
      </c>
      <c r="C755" s="56" t="s">
        <v>5</v>
      </c>
      <c r="D755" s="56" t="s">
        <v>9</v>
      </c>
      <c r="E755" s="56">
        <v>2020</v>
      </c>
      <c r="F755" s="56">
        <v>809.59</v>
      </c>
      <c r="G755" t="s">
        <v>232</v>
      </c>
      <c r="H755">
        <v>1126.56</v>
      </c>
    </row>
    <row r="756" spans="1:8">
      <c r="A756" s="220">
        <v>43466</v>
      </c>
      <c r="B756" s="220">
        <v>43830</v>
      </c>
      <c r="C756" s="56" t="s">
        <v>5</v>
      </c>
      <c r="D756" s="56" t="s">
        <v>9</v>
      </c>
      <c r="E756" s="56">
        <v>2019</v>
      </c>
      <c r="F756" s="56">
        <v>2015.81</v>
      </c>
      <c r="G756" t="s">
        <v>232</v>
      </c>
      <c r="H756">
        <v>2624.49</v>
      </c>
    </row>
    <row r="757" spans="1:8">
      <c r="A757" s="220">
        <v>43466</v>
      </c>
      <c r="B757" s="220">
        <v>43830</v>
      </c>
      <c r="C757" s="56" t="s">
        <v>5</v>
      </c>
      <c r="D757" s="56" t="s">
        <v>9</v>
      </c>
      <c r="E757" s="56">
        <v>2019</v>
      </c>
      <c r="F757" s="56">
        <v>734.22</v>
      </c>
      <c r="G757" t="s">
        <v>232</v>
      </c>
      <c r="H757">
        <v>955.92</v>
      </c>
    </row>
    <row r="758" spans="1:8">
      <c r="A758" s="220">
        <v>43466</v>
      </c>
      <c r="B758" s="220">
        <v>43830</v>
      </c>
      <c r="C758" s="56" t="s">
        <v>5</v>
      </c>
      <c r="D758" s="56" t="s">
        <v>9</v>
      </c>
      <c r="E758" s="56">
        <v>2019</v>
      </c>
      <c r="F758" s="56">
        <v>5658.26</v>
      </c>
      <c r="G758" t="s">
        <v>232</v>
      </c>
      <c r="H758">
        <v>7366.8</v>
      </c>
    </row>
    <row r="759" spans="1:8">
      <c r="A759" s="220">
        <v>43466</v>
      </c>
      <c r="B759" s="220">
        <v>43830</v>
      </c>
      <c r="C759" s="56" t="s">
        <v>5</v>
      </c>
      <c r="D759" s="56" t="s">
        <v>9</v>
      </c>
      <c r="E759" s="56">
        <v>2019</v>
      </c>
      <c r="F759" s="56">
        <v>1834.29</v>
      </c>
      <c r="G759" t="s">
        <v>232</v>
      </c>
      <c r="H759">
        <v>2388.16</v>
      </c>
    </row>
    <row r="760" spans="1:8">
      <c r="A760" s="220">
        <v>43831</v>
      </c>
      <c r="B760" s="220">
        <v>44196</v>
      </c>
      <c r="C760" s="56" t="s">
        <v>5</v>
      </c>
      <c r="D760" s="56" t="s">
        <v>9</v>
      </c>
      <c r="E760" s="56">
        <v>2020</v>
      </c>
      <c r="F760" s="56">
        <v>1280.69</v>
      </c>
      <c r="G760" t="s">
        <v>232</v>
      </c>
      <c r="H760">
        <v>1782.11</v>
      </c>
    </row>
    <row r="761" spans="1:8">
      <c r="A761" s="220">
        <v>43831</v>
      </c>
      <c r="B761" s="220">
        <v>44196</v>
      </c>
      <c r="C761" s="56" t="s">
        <v>5</v>
      </c>
      <c r="D761" s="56" t="s">
        <v>9</v>
      </c>
      <c r="E761" s="56">
        <v>2020</v>
      </c>
      <c r="F761" s="56">
        <v>631.38</v>
      </c>
      <c r="G761" t="s">
        <v>232</v>
      </c>
      <c r="H761">
        <v>878.58</v>
      </c>
    </row>
    <row r="762" spans="1:8">
      <c r="A762" s="220">
        <v>43831</v>
      </c>
      <c r="B762" s="220">
        <v>44196</v>
      </c>
      <c r="C762" s="56" t="s">
        <v>5</v>
      </c>
      <c r="D762" s="56" t="s">
        <v>9</v>
      </c>
      <c r="E762" s="56">
        <v>2020</v>
      </c>
      <c r="F762" s="56">
        <v>516.47</v>
      </c>
      <c r="G762" t="s">
        <v>232</v>
      </c>
      <c r="H762">
        <v>718.68</v>
      </c>
    </row>
    <row r="763" spans="1:8">
      <c r="A763" s="220">
        <v>43831</v>
      </c>
      <c r="B763" s="220">
        <v>44196</v>
      </c>
      <c r="C763" s="56" t="s">
        <v>5</v>
      </c>
      <c r="D763" s="56" t="s">
        <v>9</v>
      </c>
      <c r="E763" s="56">
        <v>2020</v>
      </c>
      <c r="F763" s="56">
        <v>1503.45</v>
      </c>
      <c r="G763" t="s">
        <v>232</v>
      </c>
      <c r="H763">
        <v>2092.08</v>
      </c>
    </row>
    <row r="764" spans="1:8">
      <c r="A764" s="220">
        <v>43466</v>
      </c>
      <c r="B764" s="220">
        <v>43830</v>
      </c>
      <c r="C764" s="56" t="s">
        <v>5</v>
      </c>
      <c r="D764" s="56" t="s">
        <v>9</v>
      </c>
      <c r="E764" s="56">
        <v>2019</v>
      </c>
      <c r="F764" s="56">
        <v>156.57</v>
      </c>
      <c r="G764" t="s">
        <v>232</v>
      </c>
      <c r="H764">
        <v>203.85</v>
      </c>
    </row>
    <row r="765" spans="1:8">
      <c r="A765" s="220">
        <v>43466</v>
      </c>
      <c r="B765" s="220">
        <v>43830</v>
      </c>
      <c r="C765" s="56" t="s">
        <v>5</v>
      </c>
      <c r="D765" s="56" t="s">
        <v>9</v>
      </c>
      <c r="E765" s="56">
        <v>2019</v>
      </c>
      <c r="F765" s="56">
        <v>908.23</v>
      </c>
      <c r="G765" t="s">
        <v>232</v>
      </c>
      <c r="H765">
        <v>1182.48</v>
      </c>
    </row>
    <row r="766" spans="1:8">
      <c r="A766" s="220">
        <v>43831</v>
      </c>
      <c r="B766" s="220">
        <v>44196</v>
      </c>
      <c r="C766" s="56" t="s">
        <v>5</v>
      </c>
      <c r="D766" s="56" t="s">
        <v>9</v>
      </c>
      <c r="E766" s="56">
        <v>2020</v>
      </c>
      <c r="F766" s="56">
        <v>688.17</v>
      </c>
      <c r="G766" t="s">
        <v>232</v>
      </c>
      <c r="H766">
        <v>957.6</v>
      </c>
    </row>
    <row r="767" spans="1:8">
      <c r="A767" s="220">
        <v>43466</v>
      </c>
      <c r="B767" s="220">
        <v>43830</v>
      </c>
      <c r="C767" s="56" t="s">
        <v>5</v>
      </c>
      <c r="D767" s="56" t="s">
        <v>9</v>
      </c>
      <c r="E767" s="56">
        <v>2019</v>
      </c>
      <c r="F767" s="56">
        <v>542.51</v>
      </c>
      <c r="G767" t="s">
        <v>232</v>
      </c>
      <c r="H767">
        <v>706.32</v>
      </c>
    </row>
    <row r="768" spans="1:8">
      <c r="A768" s="220">
        <v>43831</v>
      </c>
      <c r="B768" s="220">
        <v>44196</v>
      </c>
      <c r="C768" s="56" t="s">
        <v>5</v>
      </c>
      <c r="D768" s="56" t="s">
        <v>9</v>
      </c>
      <c r="E768" s="56">
        <v>2020</v>
      </c>
      <c r="F768" s="56">
        <v>586.24</v>
      </c>
      <c r="G768" t="s">
        <v>232</v>
      </c>
      <c r="H768">
        <v>815.76</v>
      </c>
    </row>
    <row r="769" spans="1:8">
      <c r="A769" s="220">
        <v>43831</v>
      </c>
      <c r="B769" s="220">
        <v>44196</v>
      </c>
      <c r="C769" s="56" t="s">
        <v>5</v>
      </c>
      <c r="D769" s="56" t="s">
        <v>9</v>
      </c>
      <c r="E769" s="56">
        <v>2020</v>
      </c>
      <c r="F769" s="56">
        <v>2574.33</v>
      </c>
      <c r="G769" t="s">
        <v>232</v>
      </c>
      <c r="H769">
        <v>3582.24</v>
      </c>
    </row>
    <row r="770" spans="1:8">
      <c r="A770" s="220">
        <v>43466</v>
      </c>
      <c r="B770" s="220">
        <v>43830</v>
      </c>
      <c r="C770" s="56" t="s">
        <v>5</v>
      </c>
      <c r="D770" s="56" t="s">
        <v>9</v>
      </c>
      <c r="E770" s="56">
        <v>2019</v>
      </c>
      <c r="F770" s="56">
        <v>3105.73</v>
      </c>
      <c r="G770" t="s">
        <v>232</v>
      </c>
      <c r="H770">
        <v>4043.52</v>
      </c>
    </row>
    <row r="771" spans="1:8">
      <c r="A771" s="220">
        <v>43466</v>
      </c>
      <c r="B771" s="220">
        <v>43830</v>
      </c>
      <c r="C771" s="56" t="s">
        <v>5</v>
      </c>
      <c r="D771" s="56" t="s">
        <v>9</v>
      </c>
      <c r="E771" s="56">
        <v>2019</v>
      </c>
      <c r="F771" s="56">
        <v>791.55</v>
      </c>
      <c r="G771" t="s">
        <v>232</v>
      </c>
      <c r="H771">
        <v>1030.56</v>
      </c>
    </row>
    <row r="772" spans="1:8">
      <c r="A772" s="220">
        <v>43831</v>
      </c>
      <c r="B772" s="220">
        <v>44196</v>
      </c>
      <c r="C772" s="56" t="s">
        <v>5</v>
      </c>
      <c r="D772" s="56" t="s">
        <v>9</v>
      </c>
      <c r="E772" s="56">
        <v>2020</v>
      </c>
      <c r="F772" s="56">
        <v>258.06</v>
      </c>
      <c r="G772" t="s">
        <v>232</v>
      </c>
      <c r="H772">
        <v>359.1</v>
      </c>
    </row>
    <row r="773" spans="1:8">
      <c r="A773" s="220">
        <v>43466</v>
      </c>
      <c r="B773" s="220">
        <v>43830</v>
      </c>
      <c r="C773" s="56" t="s">
        <v>5</v>
      </c>
      <c r="D773" s="56" t="s">
        <v>9</v>
      </c>
      <c r="E773" s="56">
        <v>2019</v>
      </c>
      <c r="F773" s="56">
        <v>543.79999999999995</v>
      </c>
      <c r="G773" t="s">
        <v>232</v>
      </c>
      <c r="H773">
        <v>708</v>
      </c>
    </row>
    <row r="774" spans="1:8">
      <c r="A774" s="220">
        <v>43466</v>
      </c>
      <c r="B774" s="220">
        <v>43830</v>
      </c>
      <c r="C774" s="56" t="s">
        <v>5</v>
      </c>
      <c r="D774" s="56" t="s">
        <v>9</v>
      </c>
      <c r="E774" s="56">
        <v>2019</v>
      </c>
      <c r="F774" s="56">
        <v>1646.36</v>
      </c>
      <c r="G774" t="s">
        <v>232</v>
      </c>
      <c r="H774">
        <v>2143.4899999999998</v>
      </c>
    </row>
    <row r="775" spans="1:8">
      <c r="A775" s="220">
        <v>43466</v>
      </c>
      <c r="B775" s="220">
        <v>43830</v>
      </c>
      <c r="C775" s="56" t="s">
        <v>5</v>
      </c>
      <c r="D775" s="56" t="s">
        <v>9</v>
      </c>
      <c r="E775" s="56">
        <v>2019</v>
      </c>
      <c r="F775" s="56">
        <v>791.55</v>
      </c>
      <c r="G775" t="s">
        <v>232</v>
      </c>
      <c r="H775">
        <v>1030.56</v>
      </c>
    </row>
    <row r="776" spans="1:8">
      <c r="A776" s="220">
        <v>43466</v>
      </c>
      <c r="B776" s="220">
        <v>43830</v>
      </c>
      <c r="C776" s="56" t="s">
        <v>5</v>
      </c>
      <c r="D776" s="56" t="s">
        <v>9</v>
      </c>
      <c r="E776" s="56">
        <v>2019</v>
      </c>
      <c r="F776" s="56">
        <v>483.98</v>
      </c>
      <c r="G776" t="s">
        <v>232</v>
      </c>
      <c r="H776">
        <v>630.12</v>
      </c>
    </row>
    <row r="777" spans="1:8">
      <c r="A777" s="220">
        <v>43466</v>
      </c>
      <c r="B777" s="220">
        <v>43830</v>
      </c>
      <c r="C777" s="56" t="s">
        <v>5</v>
      </c>
      <c r="D777" s="56" t="s">
        <v>9</v>
      </c>
      <c r="E777" s="56">
        <v>2019</v>
      </c>
      <c r="F777" s="56">
        <v>999.48</v>
      </c>
      <c r="G777" t="s">
        <v>232</v>
      </c>
      <c r="H777">
        <v>1301.28</v>
      </c>
    </row>
    <row r="778" spans="1:8">
      <c r="A778" s="220">
        <v>43831</v>
      </c>
      <c r="B778" s="220">
        <v>44196</v>
      </c>
      <c r="C778" s="56" t="s">
        <v>5</v>
      </c>
      <c r="D778" s="56" t="s">
        <v>9</v>
      </c>
      <c r="E778" s="56">
        <v>2020</v>
      </c>
      <c r="F778" s="56">
        <v>681.1</v>
      </c>
      <c r="G778" t="s">
        <v>232</v>
      </c>
      <c r="H778">
        <v>947.76</v>
      </c>
    </row>
    <row r="779" spans="1:8">
      <c r="A779" s="220">
        <v>43466</v>
      </c>
      <c r="B779" s="220">
        <v>43830</v>
      </c>
      <c r="C779" s="56" t="s">
        <v>5</v>
      </c>
      <c r="D779" s="56" t="s">
        <v>9</v>
      </c>
      <c r="E779" s="56">
        <v>2019</v>
      </c>
      <c r="F779" s="56">
        <v>1252.58</v>
      </c>
      <c r="G779" t="s">
        <v>232</v>
      </c>
      <c r="H779">
        <v>1630.8</v>
      </c>
    </row>
    <row r="780" spans="1:8">
      <c r="A780" s="220">
        <v>43831</v>
      </c>
      <c r="B780" s="220">
        <v>44196</v>
      </c>
      <c r="C780" s="56" t="s">
        <v>5</v>
      </c>
      <c r="D780" s="56" t="s">
        <v>9</v>
      </c>
      <c r="E780" s="56">
        <v>2020</v>
      </c>
      <c r="F780" s="56">
        <v>827.7</v>
      </c>
      <c r="G780" t="s">
        <v>232</v>
      </c>
      <c r="H780">
        <v>1151.76</v>
      </c>
    </row>
    <row r="781" spans="1:8">
      <c r="A781" s="220">
        <v>43831</v>
      </c>
      <c r="B781" s="220">
        <v>44196</v>
      </c>
      <c r="C781" s="56" t="s">
        <v>5</v>
      </c>
      <c r="D781" s="56" t="s">
        <v>9</v>
      </c>
      <c r="E781" s="56">
        <v>2020</v>
      </c>
      <c r="F781" s="56">
        <v>567.30999999999995</v>
      </c>
      <c r="G781" t="s">
        <v>232</v>
      </c>
      <c r="H781">
        <v>789.43</v>
      </c>
    </row>
    <row r="782" spans="1:8">
      <c r="A782" s="220">
        <v>43466</v>
      </c>
      <c r="B782" s="220">
        <v>43830</v>
      </c>
      <c r="C782" s="56" t="s">
        <v>5</v>
      </c>
      <c r="D782" s="56" t="s">
        <v>9</v>
      </c>
      <c r="E782" s="56">
        <v>2019</v>
      </c>
      <c r="F782" s="56">
        <v>871.55</v>
      </c>
      <c r="G782" t="s">
        <v>232</v>
      </c>
      <c r="H782">
        <v>1134.72</v>
      </c>
    </row>
    <row r="783" spans="1:8">
      <c r="A783" s="220">
        <v>43466</v>
      </c>
      <c r="B783" s="220">
        <v>43830</v>
      </c>
      <c r="C783" s="56" t="s">
        <v>5</v>
      </c>
      <c r="D783" s="56" t="s">
        <v>9</v>
      </c>
      <c r="E783" s="56">
        <v>2019</v>
      </c>
      <c r="F783" s="56">
        <v>1546.97</v>
      </c>
      <c r="G783" t="s">
        <v>232</v>
      </c>
      <c r="H783">
        <v>2014.08</v>
      </c>
    </row>
    <row r="784" spans="1:8">
      <c r="A784" s="220">
        <v>43831</v>
      </c>
      <c r="B784" s="220">
        <v>44196</v>
      </c>
      <c r="C784" s="56" t="s">
        <v>5</v>
      </c>
      <c r="D784" s="56" t="s">
        <v>9</v>
      </c>
      <c r="E784" s="56">
        <v>2020</v>
      </c>
      <c r="F784" s="56">
        <v>211.45</v>
      </c>
      <c r="G784" t="s">
        <v>232</v>
      </c>
      <c r="H784">
        <v>294.24</v>
      </c>
    </row>
    <row r="785" spans="1:8">
      <c r="A785" s="220">
        <v>43831</v>
      </c>
      <c r="B785" s="220">
        <v>44196</v>
      </c>
      <c r="C785" s="56" t="s">
        <v>5</v>
      </c>
      <c r="D785" s="56" t="s">
        <v>9</v>
      </c>
      <c r="E785" s="56">
        <v>2020</v>
      </c>
      <c r="F785" s="56">
        <v>446.08</v>
      </c>
      <c r="G785" t="s">
        <v>232</v>
      </c>
      <c r="H785">
        <v>620.73</v>
      </c>
    </row>
    <row r="786" spans="1:8">
      <c r="A786" s="220">
        <v>43466</v>
      </c>
      <c r="B786" s="220">
        <v>43830</v>
      </c>
      <c r="C786" s="56" t="s">
        <v>5</v>
      </c>
      <c r="D786" s="56" t="s">
        <v>9</v>
      </c>
      <c r="E786" s="56">
        <v>2019</v>
      </c>
      <c r="F786" s="56">
        <v>513.97</v>
      </c>
      <c r="G786" t="s">
        <v>232</v>
      </c>
      <c r="H786">
        <v>669.17</v>
      </c>
    </row>
    <row r="787" spans="1:8">
      <c r="A787" s="220">
        <v>43831</v>
      </c>
      <c r="B787" s="220">
        <v>44196</v>
      </c>
      <c r="C787" s="56" t="s">
        <v>5</v>
      </c>
      <c r="D787" s="56" t="s">
        <v>9</v>
      </c>
      <c r="E787" s="56">
        <v>2020</v>
      </c>
      <c r="F787" s="56">
        <v>36.72</v>
      </c>
      <c r="G787" t="s">
        <v>232</v>
      </c>
      <c r="H787">
        <v>51.1</v>
      </c>
    </row>
    <row r="788" spans="1:8">
      <c r="A788" s="220">
        <v>43831</v>
      </c>
      <c r="B788" s="220">
        <v>44196</v>
      </c>
      <c r="C788" s="56" t="s">
        <v>5</v>
      </c>
      <c r="D788" s="56" t="s">
        <v>9</v>
      </c>
      <c r="E788" s="56">
        <v>2020</v>
      </c>
      <c r="F788" s="56">
        <v>1113.92</v>
      </c>
      <c r="G788" t="s">
        <v>232</v>
      </c>
      <c r="H788">
        <v>1550.04</v>
      </c>
    </row>
    <row r="789" spans="1:8">
      <c r="A789" s="220">
        <v>43831</v>
      </c>
      <c r="B789" s="220">
        <v>44196</v>
      </c>
      <c r="C789" s="56" t="s">
        <v>5</v>
      </c>
      <c r="D789" s="56" t="s">
        <v>9</v>
      </c>
      <c r="E789" s="56">
        <v>2020</v>
      </c>
      <c r="F789" s="56">
        <v>4444.41</v>
      </c>
      <c r="G789" t="s">
        <v>232</v>
      </c>
      <c r="H789">
        <v>6184.5</v>
      </c>
    </row>
    <row r="790" spans="1:8">
      <c r="A790" s="220">
        <v>43831</v>
      </c>
      <c r="B790" s="220">
        <v>44196</v>
      </c>
      <c r="C790" s="56" t="s">
        <v>5</v>
      </c>
      <c r="D790" s="56" t="s">
        <v>9</v>
      </c>
      <c r="E790" s="56">
        <v>2020</v>
      </c>
      <c r="F790" s="56">
        <v>653.33000000000004</v>
      </c>
      <c r="G790" t="s">
        <v>232</v>
      </c>
      <c r="H790">
        <v>909.12</v>
      </c>
    </row>
    <row r="791" spans="1:8">
      <c r="A791" s="220">
        <v>43466</v>
      </c>
      <c r="B791" s="220">
        <v>43830</v>
      </c>
      <c r="C791" s="56" t="s">
        <v>5</v>
      </c>
      <c r="D791" s="56" t="s">
        <v>9</v>
      </c>
      <c r="E791" s="56">
        <v>2019</v>
      </c>
      <c r="F791" s="56">
        <v>1998.96</v>
      </c>
      <c r="G791" t="s">
        <v>232</v>
      </c>
      <c r="H791">
        <v>2602.56</v>
      </c>
    </row>
    <row r="792" spans="1:8">
      <c r="A792" s="220">
        <v>43831</v>
      </c>
      <c r="B792" s="220">
        <v>44196</v>
      </c>
      <c r="C792" s="56" t="s">
        <v>5</v>
      </c>
      <c r="D792" s="56" t="s">
        <v>9</v>
      </c>
      <c r="E792" s="56">
        <v>2020</v>
      </c>
      <c r="F792" s="56">
        <v>516.47</v>
      </c>
      <c r="G792" t="s">
        <v>232</v>
      </c>
      <c r="H792">
        <v>718.68</v>
      </c>
    </row>
    <row r="793" spans="1:8">
      <c r="A793" s="220">
        <v>43466</v>
      </c>
      <c r="B793" s="220">
        <v>43830</v>
      </c>
      <c r="C793" s="56" t="s">
        <v>5</v>
      </c>
      <c r="D793" s="56" t="s">
        <v>9</v>
      </c>
      <c r="E793" s="56">
        <v>2019</v>
      </c>
      <c r="F793" s="56">
        <v>985.1</v>
      </c>
      <c r="G793" t="s">
        <v>232</v>
      </c>
      <c r="H793">
        <v>1282.56</v>
      </c>
    </row>
    <row r="794" spans="1:8">
      <c r="A794" s="220">
        <v>43466</v>
      </c>
      <c r="B794" s="220">
        <v>43830</v>
      </c>
      <c r="C794" s="56" t="s">
        <v>5</v>
      </c>
      <c r="D794" s="56" t="s">
        <v>9</v>
      </c>
      <c r="E794" s="56">
        <v>2019</v>
      </c>
      <c r="F794" s="56">
        <v>797.72</v>
      </c>
      <c r="G794" t="s">
        <v>232</v>
      </c>
      <c r="H794">
        <v>1038.5999999999999</v>
      </c>
    </row>
    <row r="795" spans="1:8">
      <c r="A795" s="220">
        <v>43831</v>
      </c>
      <c r="B795" s="220">
        <v>44196</v>
      </c>
      <c r="C795" s="56" t="s">
        <v>5</v>
      </c>
      <c r="D795" s="56" t="s">
        <v>9</v>
      </c>
      <c r="E795" s="56">
        <v>2020</v>
      </c>
      <c r="F795" s="56">
        <v>935.67</v>
      </c>
      <c r="G795" t="s">
        <v>232</v>
      </c>
      <c r="H795">
        <v>1302</v>
      </c>
    </row>
    <row r="796" spans="1:8">
      <c r="A796" s="220">
        <v>43466</v>
      </c>
      <c r="B796" s="220">
        <v>43830</v>
      </c>
      <c r="C796" s="56" t="s">
        <v>5</v>
      </c>
      <c r="D796" s="56" t="s">
        <v>9</v>
      </c>
      <c r="E796" s="56">
        <v>2019</v>
      </c>
      <c r="F796" s="56">
        <v>222.68</v>
      </c>
      <c r="G796" t="s">
        <v>232</v>
      </c>
      <c r="H796">
        <v>289.92</v>
      </c>
    </row>
    <row r="797" spans="1:8">
      <c r="A797" s="220">
        <v>43466</v>
      </c>
      <c r="B797" s="220">
        <v>43830</v>
      </c>
      <c r="C797" s="56" t="s">
        <v>5</v>
      </c>
      <c r="D797" s="56" t="s">
        <v>9</v>
      </c>
      <c r="E797" s="56">
        <v>2019</v>
      </c>
      <c r="F797" s="56">
        <v>1172.8499999999999</v>
      </c>
      <c r="G797" t="s">
        <v>232</v>
      </c>
      <c r="H797">
        <v>1527</v>
      </c>
    </row>
    <row r="798" spans="1:8">
      <c r="A798" s="220">
        <v>43466</v>
      </c>
      <c r="B798" s="220">
        <v>43830</v>
      </c>
      <c r="C798" s="56" t="s">
        <v>5</v>
      </c>
      <c r="D798" s="56" t="s">
        <v>9</v>
      </c>
      <c r="E798" s="56">
        <v>2019</v>
      </c>
      <c r="F798" s="56">
        <v>2202.66</v>
      </c>
      <c r="G798" t="s">
        <v>232</v>
      </c>
      <c r="H798">
        <v>2867.76</v>
      </c>
    </row>
    <row r="799" spans="1:8">
      <c r="A799" s="220">
        <v>43466</v>
      </c>
      <c r="B799" s="220">
        <v>43830</v>
      </c>
      <c r="C799" s="56" t="s">
        <v>5</v>
      </c>
      <c r="D799" s="56" t="s">
        <v>9</v>
      </c>
      <c r="E799" s="56">
        <v>2019</v>
      </c>
      <c r="F799" s="56">
        <v>554.30999999999995</v>
      </c>
      <c r="G799" t="s">
        <v>232</v>
      </c>
      <c r="H799">
        <v>721.68</v>
      </c>
    </row>
    <row r="800" spans="1:8">
      <c r="A800" s="220">
        <v>43466</v>
      </c>
      <c r="B800" s="220">
        <v>43830</v>
      </c>
      <c r="C800" s="56" t="s">
        <v>5</v>
      </c>
      <c r="D800" s="56" t="s">
        <v>9</v>
      </c>
      <c r="E800" s="56">
        <v>2019</v>
      </c>
      <c r="F800" s="56">
        <v>669.24</v>
      </c>
      <c r="G800" t="s">
        <v>232</v>
      </c>
      <c r="H800">
        <v>871.32</v>
      </c>
    </row>
    <row r="801" spans="1:8">
      <c r="A801" s="220">
        <v>43831</v>
      </c>
      <c r="B801" s="220">
        <v>44196</v>
      </c>
      <c r="C801" s="56" t="s">
        <v>5</v>
      </c>
      <c r="D801" s="56" t="s">
        <v>9</v>
      </c>
      <c r="E801" s="56">
        <v>2020</v>
      </c>
      <c r="F801" s="56">
        <v>1725.25</v>
      </c>
      <c r="G801" t="s">
        <v>232</v>
      </c>
      <c r="H801">
        <v>2400.7199999999998</v>
      </c>
    </row>
    <row r="802" spans="1:8">
      <c r="A802" s="220">
        <v>43466</v>
      </c>
      <c r="B802" s="220">
        <v>43830</v>
      </c>
      <c r="C802" s="56" t="s">
        <v>5</v>
      </c>
      <c r="D802" s="56" t="s">
        <v>9</v>
      </c>
      <c r="E802" s="56">
        <v>2019</v>
      </c>
      <c r="F802" s="56">
        <v>5251.58</v>
      </c>
      <c r="G802" t="s">
        <v>232</v>
      </c>
      <c r="H802">
        <v>6837.31</v>
      </c>
    </row>
    <row r="803" spans="1:8">
      <c r="A803" s="220">
        <v>43466</v>
      </c>
      <c r="B803" s="220">
        <v>43830</v>
      </c>
      <c r="C803" s="56" t="s">
        <v>5</v>
      </c>
      <c r="D803" s="56" t="s">
        <v>9</v>
      </c>
      <c r="E803" s="56">
        <v>2019</v>
      </c>
      <c r="F803" s="56">
        <v>850.08</v>
      </c>
      <c r="G803" t="s">
        <v>232</v>
      </c>
      <c r="H803">
        <v>1106.76</v>
      </c>
    </row>
    <row r="804" spans="1:8">
      <c r="A804" s="220">
        <v>43466</v>
      </c>
      <c r="B804" s="220">
        <v>43830</v>
      </c>
      <c r="C804" s="56" t="s">
        <v>5</v>
      </c>
      <c r="D804" s="56" t="s">
        <v>9</v>
      </c>
      <c r="E804" s="56">
        <v>2019</v>
      </c>
      <c r="F804" s="56">
        <v>1986.48</v>
      </c>
      <c r="G804" t="s">
        <v>232</v>
      </c>
      <c r="H804">
        <v>2586.3000000000002</v>
      </c>
    </row>
    <row r="805" spans="1:8">
      <c r="A805" s="220">
        <v>43466</v>
      </c>
      <c r="B805" s="220">
        <v>43830</v>
      </c>
      <c r="C805" s="56" t="s">
        <v>5</v>
      </c>
      <c r="D805" s="56" t="s">
        <v>9</v>
      </c>
      <c r="E805" s="56">
        <v>2019</v>
      </c>
      <c r="F805" s="56">
        <v>1816.47</v>
      </c>
      <c r="G805" t="s">
        <v>232</v>
      </c>
      <c r="H805">
        <v>2364.96</v>
      </c>
    </row>
    <row r="806" spans="1:8">
      <c r="A806" s="220">
        <v>43466</v>
      </c>
      <c r="B806" s="220">
        <v>43830</v>
      </c>
      <c r="C806" s="56" t="s">
        <v>5</v>
      </c>
      <c r="D806" s="56" t="s">
        <v>9</v>
      </c>
      <c r="E806" s="56">
        <v>2019</v>
      </c>
      <c r="F806" s="56">
        <v>626.29</v>
      </c>
      <c r="G806" t="s">
        <v>232</v>
      </c>
      <c r="H806">
        <v>815.4</v>
      </c>
    </row>
    <row r="807" spans="1:8">
      <c r="A807" s="220">
        <v>43466</v>
      </c>
      <c r="B807" s="220">
        <v>43830</v>
      </c>
      <c r="C807" s="56" t="s">
        <v>5</v>
      </c>
      <c r="D807" s="56" t="s">
        <v>9</v>
      </c>
      <c r="E807" s="56">
        <v>2019</v>
      </c>
      <c r="F807" s="56">
        <v>2129.09</v>
      </c>
      <c r="G807" t="s">
        <v>232</v>
      </c>
      <c r="H807">
        <v>2771.98</v>
      </c>
    </row>
    <row r="808" spans="1:8">
      <c r="A808" s="220">
        <v>43466</v>
      </c>
      <c r="B808" s="220">
        <v>43830</v>
      </c>
      <c r="C808" s="56" t="s">
        <v>5</v>
      </c>
      <c r="D808" s="56" t="s">
        <v>9</v>
      </c>
      <c r="E808" s="56">
        <v>2019</v>
      </c>
      <c r="F808" s="56">
        <v>357.66</v>
      </c>
      <c r="G808" t="s">
        <v>232</v>
      </c>
      <c r="H808">
        <v>465.66</v>
      </c>
    </row>
    <row r="809" spans="1:8">
      <c r="A809" s="220">
        <v>43466</v>
      </c>
      <c r="B809" s="220">
        <v>43830</v>
      </c>
      <c r="C809" s="56" t="s">
        <v>5</v>
      </c>
      <c r="D809" s="56" t="s">
        <v>9</v>
      </c>
      <c r="E809" s="56">
        <v>2019</v>
      </c>
      <c r="F809" s="56">
        <v>999.48</v>
      </c>
      <c r="G809" t="s">
        <v>232</v>
      </c>
      <c r="H809">
        <v>1301.28</v>
      </c>
    </row>
    <row r="810" spans="1:8">
      <c r="A810" s="220">
        <v>43466</v>
      </c>
      <c r="B810" s="220">
        <v>43830</v>
      </c>
      <c r="C810" s="56" t="s">
        <v>5</v>
      </c>
      <c r="D810" s="56" t="s">
        <v>9</v>
      </c>
      <c r="E810" s="56">
        <v>2019</v>
      </c>
      <c r="F810" s="56">
        <v>1653.45</v>
      </c>
      <c r="G810" t="s">
        <v>232</v>
      </c>
      <c r="H810">
        <v>2152.7199999999998</v>
      </c>
    </row>
    <row r="811" spans="1:8">
      <c r="A811" s="220">
        <v>43831</v>
      </c>
      <c r="B811" s="220">
        <v>44196</v>
      </c>
      <c r="C811" s="56" t="s">
        <v>5</v>
      </c>
      <c r="D811" s="56" t="s">
        <v>9</v>
      </c>
      <c r="E811" s="56">
        <v>2020</v>
      </c>
      <c r="F811" s="56">
        <v>825.8</v>
      </c>
      <c r="G811" t="s">
        <v>232</v>
      </c>
      <c r="H811">
        <v>1149.1199999999999</v>
      </c>
    </row>
    <row r="812" spans="1:8">
      <c r="A812" s="220">
        <v>43831</v>
      </c>
      <c r="B812" s="220">
        <v>44196</v>
      </c>
      <c r="C812" s="56" t="s">
        <v>5</v>
      </c>
      <c r="D812" s="56" t="s">
        <v>9</v>
      </c>
      <c r="E812" s="56">
        <v>2020</v>
      </c>
      <c r="F812" s="56">
        <v>470.33</v>
      </c>
      <c r="G812" t="s">
        <v>232</v>
      </c>
      <c r="H812">
        <v>654.48</v>
      </c>
    </row>
    <row r="813" spans="1:8">
      <c r="A813" s="220">
        <v>43466</v>
      </c>
      <c r="B813" s="220">
        <v>43830</v>
      </c>
      <c r="C813" s="56" t="s">
        <v>5</v>
      </c>
      <c r="D813" s="56" t="s">
        <v>9</v>
      </c>
      <c r="E813" s="56">
        <v>2019</v>
      </c>
      <c r="F813" s="56">
        <v>724.63</v>
      </c>
      <c r="G813" t="s">
        <v>232</v>
      </c>
      <c r="H813">
        <v>943.44</v>
      </c>
    </row>
    <row r="814" spans="1:8">
      <c r="A814" s="220">
        <v>43831</v>
      </c>
      <c r="B814" s="220">
        <v>44196</v>
      </c>
      <c r="C814" s="56" t="s">
        <v>5</v>
      </c>
      <c r="D814" s="56" t="s">
        <v>9</v>
      </c>
      <c r="E814" s="56">
        <v>2020</v>
      </c>
      <c r="F814" s="56">
        <v>1724.37</v>
      </c>
      <c r="G814" t="s">
        <v>232</v>
      </c>
      <c r="H814">
        <v>2399.5</v>
      </c>
    </row>
    <row r="815" spans="1:8">
      <c r="A815" s="220">
        <v>43831</v>
      </c>
      <c r="B815" s="220">
        <v>44196</v>
      </c>
      <c r="C815" s="56" t="s">
        <v>5</v>
      </c>
      <c r="D815" s="56" t="s">
        <v>9</v>
      </c>
      <c r="E815" s="56">
        <v>2020</v>
      </c>
      <c r="F815" s="56">
        <v>586.24</v>
      </c>
      <c r="G815" t="s">
        <v>232</v>
      </c>
      <c r="H815">
        <v>815.76</v>
      </c>
    </row>
    <row r="816" spans="1:8">
      <c r="A816" s="220">
        <v>43831</v>
      </c>
      <c r="B816" s="220">
        <v>44196</v>
      </c>
      <c r="C816" s="56" t="s">
        <v>5</v>
      </c>
      <c r="D816" s="56" t="s">
        <v>9</v>
      </c>
      <c r="E816" s="56">
        <v>2020</v>
      </c>
      <c r="F816" s="56">
        <v>311.57</v>
      </c>
      <c r="G816" t="s">
        <v>232</v>
      </c>
      <c r="H816">
        <v>433.56</v>
      </c>
    </row>
    <row r="817" spans="1:8">
      <c r="A817" s="220">
        <v>43466</v>
      </c>
      <c r="B817" s="220">
        <v>43830</v>
      </c>
      <c r="C817" s="56" t="s">
        <v>5</v>
      </c>
      <c r="D817" s="56" t="s">
        <v>9</v>
      </c>
      <c r="E817" s="56">
        <v>2019</v>
      </c>
      <c r="F817" s="56">
        <v>687.86</v>
      </c>
      <c r="G817" t="s">
        <v>232</v>
      </c>
      <c r="H817">
        <v>895.56</v>
      </c>
    </row>
    <row r="818" spans="1:8">
      <c r="A818" s="220">
        <v>43466</v>
      </c>
      <c r="B818" s="220">
        <v>43830</v>
      </c>
      <c r="C818" s="56" t="s">
        <v>5</v>
      </c>
      <c r="D818" s="56" t="s">
        <v>9</v>
      </c>
      <c r="E818" s="56">
        <v>2019</v>
      </c>
      <c r="F818" s="56">
        <v>60.39</v>
      </c>
      <c r="G818" t="s">
        <v>232</v>
      </c>
      <c r="H818">
        <v>78.62</v>
      </c>
    </row>
    <row r="819" spans="1:8">
      <c r="A819" s="220">
        <v>43466</v>
      </c>
      <c r="B819" s="220">
        <v>43830</v>
      </c>
      <c r="C819" s="56" t="s">
        <v>5</v>
      </c>
      <c r="D819" s="56" t="s">
        <v>9</v>
      </c>
      <c r="E819" s="56">
        <v>2019</v>
      </c>
      <c r="F819" s="56">
        <v>5766.56</v>
      </c>
      <c r="G819" t="s">
        <v>232</v>
      </c>
      <c r="H819">
        <v>7507.8</v>
      </c>
    </row>
    <row r="820" spans="1:8">
      <c r="A820" s="220">
        <v>43466</v>
      </c>
      <c r="B820" s="220">
        <v>43830</v>
      </c>
      <c r="C820" s="56" t="s">
        <v>5</v>
      </c>
      <c r="D820" s="56" t="s">
        <v>9</v>
      </c>
      <c r="E820" s="56">
        <v>2019</v>
      </c>
      <c r="F820" s="56">
        <v>999.48</v>
      </c>
      <c r="G820" t="s">
        <v>232</v>
      </c>
      <c r="H820">
        <v>1301.28</v>
      </c>
    </row>
    <row r="821" spans="1:8">
      <c r="A821" s="220">
        <v>43466</v>
      </c>
      <c r="B821" s="220">
        <v>43830</v>
      </c>
      <c r="C821" s="56" t="s">
        <v>5</v>
      </c>
      <c r="D821" s="56" t="s">
        <v>9</v>
      </c>
      <c r="E821" s="56">
        <v>2019</v>
      </c>
      <c r="F821" s="56">
        <v>1434.34</v>
      </c>
      <c r="G821" t="s">
        <v>232</v>
      </c>
      <c r="H821">
        <v>1867.44</v>
      </c>
    </row>
    <row r="822" spans="1:8">
      <c r="A822" s="220">
        <v>43831</v>
      </c>
      <c r="B822" s="220">
        <v>44196</v>
      </c>
      <c r="C822" s="56" t="s">
        <v>5</v>
      </c>
      <c r="D822" s="56" t="s">
        <v>9</v>
      </c>
      <c r="E822" s="56">
        <v>2020</v>
      </c>
      <c r="F822" s="56">
        <v>1169.3599999999999</v>
      </c>
      <c r="G822" t="s">
        <v>232</v>
      </c>
      <c r="H822">
        <v>1627.19</v>
      </c>
    </row>
    <row r="823" spans="1:8">
      <c r="A823" s="220">
        <v>43831</v>
      </c>
      <c r="B823" s="220">
        <v>44196</v>
      </c>
      <c r="C823" s="56" t="s">
        <v>5</v>
      </c>
      <c r="D823" s="56" t="s">
        <v>9</v>
      </c>
      <c r="E823" s="56">
        <v>2020</v>
      </c>
      <c r="F823" s="56">
        <v>1121.99</v>
      </c>
      <c r="G823" t="s">
        <v>232</v>
      </c>
      <c r="H823">
        <v>1561.28</v>
      </c>
    </row>
    <row r="824" spans="1:8">
      <c r="A824" s="220">
        <v>43831</v>
      </c>
      <c r="B824" s="220">
        <v>44196</v>
      </c>
      <c r="C824" s="56" t="s">
        <v>5</v>
      </c>
      <c r="D824" s="56" t="s">
        <v>9</v>
      </c>
      <c r="E824" s="56">
        <v>2020</v>
      </c>
      <c r="F824" s="56">
        <v>879.32</v>
      </c>
      <c r="G824" t="s">
        <v>232</v>
      </c>
      <c r="H824">
        <v>1223.5999999999999</v>
      </c>
    </row>
    <row r="825" spans="1:8">
      <c r="A825" s="220">
        <v>43831</v>
      </c>
      <c r="B825" s="220">
        <v>44196</v>
      </c>
      <c r="C825" s="56" t="s">
        <v>5</v>
      </c>
      <c r="D825" s="56" t="s">
        <v>9</v>
      </c>
      <c r="E825" s="56">
        <v>2020</v>
      </c>
      <c r="F825" s="56">
        <v>827.7</v>
      </c>
      <c r="G825" t="s">
        <v>232</v>
      </c>
      <c r="H825">
        <v>1151.76</v>
      </c>
    </row>
    <row r="826" spans="1:8">
      <c r="A826" s="220">
        <v>43831</v>
      </c>
      <c r="B826" s="220">
        <v>44196</v>
      </c>
      <c r="C826" s="56" t="s">
        <v>5</v>
      </c>
      <c r="D826" s="56" t="s">
        <v>9</v>
      </c>
      <c r="E826" s="56">
        <v>2020</v>
      </c>
      <c r="F826" s="56">
        <v>1315.52</v>
      </c>
      <c r="G826" t="s">
        <v>232</v>
      </c>
      <c r="H826">
        <v>1830.57</v>
      </c>
    </row>
    <row r="827" spans="1:8">
      <c r="A827" s="220">
        <v>43466</v>
      </c>
      <c r="B827" s="220">
        <v>43830</v>
      </c>
      <c r="C827" s="56" t="s">
        <v>5</v>
      </c>
      <c r="D827" s="56" t="s">
        <v>9</v>
      </c>
      <c r="E827" s="56">
        <v>2019</v>
      </c>
      <c r="F827" s="56">
        <v>763.64</v>
      </c>
      <c r="G827" t="s">
        <v>232</v>
      </c>
      <c r="H827">
        <v>994.22</v>
      </c>
    </row>
    <row r="828" spans="1:8">
      <c r="A828" s="220">
        <v>43831</v>
      </c>
      <c r="B828" s="220">
        <v>44196</v>
      </c>
      <c r="C828" s="56" t="s">
        <v>5</v>
      </c>
      <c r="D828" s="56" t="s">
        <v>9</v>
      </c>
      <c r="E828" s="56">
        <v>2020</v>
      </c>
      <c r="F828" s="56">
        <v>88.33</v>
      </c>
      <c r="G828" t="s">
        <v>232</v>
      </c>
      <c r="H828">
        <v>122.92</v>
      </c>
    </row>
    <row r="829" spans="1:8">
      <c r="A829" s="220">
        <v>43466</v>
      </c>
      <c r="B829" s="220">
        <v>43830</v>
      </c>
      <c r="C829" s="56" t="s">
        <v>5</v>
      </c>
      <c r="D829" s="56" t="s">
        <v>9</v>
      </c>
      <c r="E829" s="56">
        <v>2019</v>
      </c>
      <c r="F829" s="56">
        <v>1189.9000000000001</v>
      </c>
      <c r="G829" t="s">
        <v>232</v>
      </c>
      <c r="H829">
        <v>1549.2</v>
      </c>
    </row>
    <row r="830" spans="1:8">
      <c r="A830" s="220">
        <v>43831</v>
      </c>
      <c r="B830" s="220">
        <v>44196</v>
      </c>
      <c r="C830" s="56" t="s">
        <v>5</v>
      </c>
      <c r="D830" s="56" t="s">
        <v>9</v>
      </c>
      <c r="E830" s="56">
        <v>2020</v>
      </c>
      <c r="F830" s="56">
        <v>977.92</v>
      </c>
      <c r="G830" t="s">
        <v>232</v>
      </c>
      <c r="H830">
        <v>1360.8</v>
      </c>
    </row>
    <row r="831" spans="1:8">
      <c r="A831" s="220">
        <v>43831</v>
      </c>
      <c r="B831" s="220">
        <v>44196</v>
      </c>
      <c r="C831" s="56" t="s">
        <v>5</v>
      </c>
      <c r="D831" s="56" t="s">
        <v>9</v>
      </c>
      <c r="E831" s="56">
        <v>2020</v>
      </c>
      <c r="F831" s="56">
        <v>688.17</v>
      </c>
      <c r="G831" t="s">
        <v>232</v>
      </c>
      <c r="H831">
        <v>957.6</v>
      </c>
    </row>
    <row r="832" spans="1:8">
      <c r="A832" s="220">
        <v>43831</v>
      </c>
      <c r="B832" s="220">
        <v>44196</v>
      </c>
      <c r="C832" s="56" t="s">
        <v>5</v>
      </c>
      <c r="D832" s="56" t="s">
        <v>9</v>
      </c>
      <c r="E832" s="56">
        <v>2020</v>
      </c>
      <c r="F832" s="56">
        <v>751.72</v>
      </c>
      <c r="G832" t="s">
        <v>232</v>
      </c>
      <c r="H832">
        <v>1046.04</v>
      </c>
    </row>
    <row r="833" spans="1:8">
      <c r="A833" s="220">
        <v>43831</v>
      </c>
      <c r="B833" s="220">
        <v>44196</v>
      </c>
      <c r="C833" s="56" t="s">
        <v>5</v>
      </c>
      <c r="D833" s="56" t="s">
        <v>9</v>
      </c>
      <c r="E833" s="56">
        <v>2020</v>
      </c>
      <c r="F833" s="56">
        <v>1320.44</v>
      </c>
      <c r="G833" t="s">
        <v>232</v>
      </c>
      <c r="H833">
        <v>1837.43</v>
      </c>
    </row>
    <row r="834" spans="1:8">
      <c r="A834" s="220">
        <v>43831</v>
      </c>
      <c r="B834" s="220">
        <v>44196</v>
      </c>
      <c r="C834" s="56" t="s">
        <v>5</v>
      </c>
      <c r="D834" s="56" t="s">
        <v>9</v>
      </c>
      <c r="E834" s="56">
        <v>2020</v>
      </c>
      <c r="F834" s="56">
        <v>517.77</v>
      </c>
      <c r="G834" t="s">
        <v>232</v>
      </c>
      <c r="H834">
        <v>720.49</v>
      </c>
    </row>
    <row r="835" spans="1:8">
      <c r="A835" s="220">
        <v>43466</v>
      </c>
      <c r="B835" s="220">
        <v>43830</v>
      </c>
      <c r="C835" s="56" t="s">
        <v>5</v>
      </c>
      <c r="D835" s="56" t="s">
        <v>9</v>
      </c>
      <c r="E835" s="56">
        <v>2019</v>
      </c>
      <c r="F835" s="56">
        <v>1375.72</v>
      </c>
      <c r="G835" t="s">
        <v>232</v>
      </c>
      <c r="H835">
        <v>1791.12</v>
      </c>
    </row>
    <row r="836" spans="1:8">
      <c r="A836" s="220">
        <v>43831</v>
      </c>
      <c r="B836" s="220">
        <v>44196</v>
      </c>
      <c r="C836" s="56" t="s">
        <v>5</v>
      </c>
      <c r="D836" s="56" t="s">
        <v>9</v>
      </c>
      <c r="E836" s="56">
        <v>2020</v>
      </c>
      <c r="F836" s="56">
        <v>2397.1999999999998</v>
      </c>
      <c r="G836" t="s">
        <v>232</v>
      </c>
      <c r="H836">
        <v>3335.76</v>
      </c>
    </row>
    <row r="837" spans="1:8">
      <c r="A837" s="220">
        <v>43831</v>
      </c>
      <c r="B837" s="220">
        <v>44196</v>
      </c>
      <c r="C837" s="56" t="s">
        <v>5</v>
      </c>
      <c r="D837" s="56" t="s">
        <v>9</v>
      </c>
      <c r="E837" s="56">
        <v>2020</v>
      </c>
      <c r="F837" s="56">
        <v>2881.66</v>
      </c>
      <c r="G837" t="s">
        <v>232</v>
      </c>
      <c r="H837">
        <v>4009.9</v>
      </c>
    </row>
    <row r="838" spans="1:8">
      <c r="A838" s="220">
        <v>43831</v>
      </c>
      <c r="B838" s="220">
        <v>44196</v>
      </c>
      <c r="C838" s="56" t="s">
        <v>5</v>
      </c>
      <c r="D838" s="56" t="s">
        <v>9</v>
      </c>
      <c r="E838" s="56">
        <v>2020</v>
      </c>
      <c r="F838" s="56">
        <v>949.2</v>
      </c>
      <c r="G838" t="s">
        <v>232</v>
      </c>
      <c r="H838">
        <v>1320.84</v>
      </c>
    </row>
    <row r="839" spans="1:8">
      <c r="A839" s="220">
        <v>43831</v>
      </c>
      <c r="B839" s="220">
        <v>44196</v>
      </c>
      <c r="C839" s="56" t="s">
        <v>5</v>
      </c>
      <c r="D839" s="56" t="s">
        <v>9</v>
      </c>
      <c r="E839" s="56">
        <v>2020</v>
      </c>
      <c r="F839" s="56">
        <v>1458.68</v>
      </c>
      <c r="G839" t="s">
        <v>232</v>
      </c>
      <c r="H839">
        <v>2029.79</v>
      </c>
    </row>
    <row r="840" spans="1:8">
      <c r="A840" s="220">
        <v>43831</v>
      </c>
      <c r="B840" s="220">
        <v>44196</v>
      </c>
      <c r="C840" s="56" t="s">
        <v>5</v>
      </c>
      <c r="D840" s="56" t="s">
        <v>9</v>
      </c>
      <c r="E840" s="56">
        <v>2020</v>
      </c>
      <c r="F840" s="56">
        <v>317.18</v>
      </c>
      <c r="G840" t="s">
        <v>232</v>
      </c>
      <c r="H840">
        <v>441.36</v>
      </c>
    </row>
    <row r="841" spans="1:8">
      <c r="A841" s="220">
        <v>43466</v>
      </c>
      <c r="B841" s="220">
        <v>43830</v>
      </c>
      <c r="C841" s="56" t="s">
        <v>5</v>
      </c>
      <c r="D841" s="56" t="s">
        <v>9</v>
      </c>
      <c r="E841" s="56">
        <v>2019</v>
      </c>
      <c r="F841" s="56">
        <v>535.69000000000005</v>
      </c>
      <c r="G841" t="s">
        <v>232</v>
      </c>
      <c r="H841">
        <v>697.44</v>
      </c>
    </row>
    <row r="842" spans="1:8">
      <c r="A842" s="220">
        <v>43466</v>
      </c>
      <c r="B842" s="220">
        <v>43830</v>
      </c>
      <c r="C842" s="56" t="s">
        <v>5</v>
      </c>
      <c r="D842" s="56" t="s">
        <v>9</v>
      </c>
      <c r="E842" s="56">
        <v>2019</v>
      </c>
      <c r="F842" s="56">
        <v>791.55</v>
      </c>
      <c r="G842" t="s">
        <v>232</v>
      </c>
      <c r="H842">
        <v>1030.56</v>
      </c>
    </row>
    <row r="843" spans="1:8">
      <c r="A843" s="220">
        <v>43831</v>
      </c>
      <c r="B843" s="220">
        <v>44196</v>
      </c>
      <c r="C843" s="56" t="s">
        <v>5</v>
      </c>
      <c r="D843" s="56" t="s">
        <v>9</v>
      </c>
      <c r="E843" s="56">
        <v>2020</v>
      </c>
      <c r="F843" s="56">
        <v>1135.22</v>
      </c>
      <c r="G843" t="s">
        <v>232</v>
      </c>
      <c r="H843">
        <v>1579.68</v>
      </c>
    </row>
    <row r="844" spans="1:8">
      <c r="A844" s="220">
        <v>43831</v>
      </c>
      <c r="B844" s="220">
        <v>44196</v>
      </c>
      <c r="C844" s="56" t="s">
        <v>5</v>
      </c>
      <c r="D844" s="56" t="s">
        <v>9</v>
      </c>
      <c r="E844" s="56">
        <v>2020</v>
      </c>
      <c r="F844" s="56">
        <v>431.31</v>
      </c>
      <c r="G844" t="s">
        <v>232</v>
      </c>
      <c r="H844">
        <v>600.17999999999995</v>
      </c>
    </row>
    <row r="845" spans="1:8">
      <c r="A845" s="220">
        <v>43831</v>
      </c>
      <c r="B845" s="220">
        <v>44196</v>
      </c>
      <c r="C845" s="56" t="s">
        <v>5</v>
      </c>
      <c r="D845" s="56" t="s">
        <v>9</v>
      </c>
      <c r="E845" s="56">
        <v>2020</v>
      </c>
      <c r="F845" s="56">
        <v>807.35</v>
      </c>
      <c r="G845" t="s">
        <v>232</v>
      </c>
      <c r="H845">
        <v>1123.44</v>
      </c>
    </row>
    <row r="846" spans="1:8">
      <c r="A846" s="220">
        <v>43831</v>
      </c>
      <c r="B846" s="220">
        <v>44196</v>
      </c>
      <c r="C846" s="56" t="s">
        <v>5</v>
      </c>
      <c r="D846" s="56" t="s">
        <v>9</v>
      </c>
      <c r="E846" s="56">
        <v>2020</v>
      </c>
      <c r="F846" s="56">
        <v>734.65</v>
      </c>
      <c r="G846" t="s">
        <v>232</v>
      </c>
      <c r="H846">
        <v>1022.28</v>
      </c>
    </row>
    <row r="847" spans="1:8">
      <c r="A847" s="220">
        <v>43831</v>
      </c>
      <c r="B847" s="220">
        <v>44196</v>
      </c>
      <c r="C847" s="56" t="s">
        <v>5</v>
      </c>
      <c r="D847" s="56" t="s">
        <v>9</v>
      </c>
      <c r="E847" s="56">
        <v>2020</v>
      </c>
      <c r="F847" s="56">
        <v>2457.7199999999998</v>
      </c>
      <c r="G847" t="s">
        <v>232</v>
      </c>
      <c r="H847">
        <v>3419.97</v>
      </c>
    </row>
    <row r="848" spans="1:8">
      <c r="A848" s="220">
        <v>43831</v>
      </c>
      <c r="B848" s="220">
        <v>44196</v>
      </c>
      <c r="C848" s="56" t="s">
        <v>5</v>
      </c>
      <c r="D848" s="56" t="s">
        <v>9</v>
      </c>
      <c r="E848" s="56">
        <v>2020</v>
      </c>
      <c r="F848" s="56">
        <v>206.37</v>
      </c>
      <c r="G848" t="s">
        <v>232</v>
      </c>
      <c r="H848">
        <v>287.17</v>
      </c>
    </row>
    <row r="849" spans="1:8">
      <c r="A849" s="220">
        <v>43466</v>
      </c>
      <c r="B849" s="220">
        <v>43830</v>
      </c>
      <c r="C849" s="56" t="s">
        <v>5</v>
      </c>
      <c r="D849" s="56" t="s">
        <v>9</v>
      </c>
      <c r="E849" s="56">
        <v>2019</v>
      </c>
      <c r="F849" s="56">
        <v>435.13</v>
      </c>
      <c r="G849" t="s">
        <v>232</v>
      </c>
      <c r="H849">
        <v>566.52</v>
      </c>
    </row>
    <row r="850" spans="1:8">
      <c r="A850" s="220">
        <v>43466</v>
      </c>
      <c r="B850" s="220">
        <v>43830</v>
      </c>
      <c r="C850" s="56" t="s">
        <v>5</v>
      </c>
      <c r="D850" s="56" t="s">
        <v>9</v>
      </c>
      <c r="E850" s="56">
        <v>2019</v>
      </c>
      <c r="F850" s="56">
        <v>1333.5</v>
      </c>
      <c r="G850" t="s">
        <v>232</v>
      </c>
      <c r="H850">
        <v>1736.16</v>
      </c>
    </row>
    <row r="851" spans="1:8">
      <c r="A851" s="220">
        <v>43466</v>
      </c>
      <c r="B851" s="220">
        <v>43830</v>
      </c>
      <c r="C851" s="56" t="s">
        <v>5</v>
      </c>
      <c r="D851" s="56" t="s">
        <v>9</v>
      </c>
      <c r="E851" s="56">
        <v>2019</v>
      </c>
      <c r="F851" s="56">
        <v>1143.31</v>
      </c>
      <c r="G851" t="s">
        <v>232</v>
      </c>
      <c r="H851">
        <v>1488.54</v>
      </c>
    </row>
    <row r="852" spans="1:8">
      <c r="A852" s="220">
        <v>43831</v>
      </c>
      <c r="B852" s="220">
        <v>44196</v>
      </c>
      <c r="C852" s="56" t="s">
        <v>5</v>
      </c>
      <c r="D852" s="56" t="s">
        <v>9</v>
      </c>
      <c r="E852" s="56">
        <v>2020</v>
      </c>
      <c r="F852" s="56">
        <v>1469.3</v>
      </c>
      <c r="G852" t="s">
        <v>232</v>
      </c>
      <c r="H852">
        <v>2044.56</v>
      </c>
    </row>
    <row r="853" spans="1:8">
      <c r="A853" s="220">
        <v>43466</v>
      </c>
      <c r="B853" s="220">
        <v>43830</v>
      </c>
      <c r="C853" s="56" t="s">
        <v>5</v>
      </c>
      <c r="D853" s="56" t="s">
        <v>9</v>
      </c>
      <c r="E853" s="56">
        <v>2019</v>
      </c>
      <c r="F853" s="56">
        <v>773.48</v>
      </c>
      <c r="G853" t="s">
        <v>232</v>
      </c>
      <c r="H853">
        <v>1007.04</v>
      </c>
    </row>
    <row r="854" spans="1:8">
      <c r="A854" s="220">
        <v>43831</v>
      </c>
      <c r="B854" s="220">
        <v>44196</v>
      </c>
      <c r="C854" s="56" t="s">
        <v>5</v>
      </c>
      <c r="D854" s="56" t="s">
        <v>9</v>
      </c>
      <c r="E854" s="56">
        <v>2020</v>
      </c>
      <c r="F854" s="56">
        <v>1384.5</v>
      </c>
      <c r="G854" t="s">
        <v>232</v>
      </c>
      <c r="H854">
        <v>1926.56</v>
      </c>
    </row>
    <row r="855" spans="1:8">
      <c r="A855" s="220">
        <v>43831</v>
      </c>
      <c r="B855" s="220">
        <v>44196</v>
      </c>
      <c r="C855" s="56" t="s">
        <v>5</v>
      </c>
      <c r="D855" s="56" t="s">
        <v>9</v>
      </c>
      <c r="E855" s="56">
        <v>2020</v>
      </c>
      <c r="F855" s="56">
        <v>977.92</v>
      </c>
      <c r="G855" t="s">
        <v>232</v>
      </c>
      <c r="H855">
        <v>1360.8</v>
      </c>
    </row>
    <row r="856" spans="1:8">
      <c r="A856" s="220">
        <v>43831</v>
      </c>
      <c r="B856" s="220">
        <v>44196</v>
      </c>
      <c r="C856" s="56" t="s">
        <v>5</v>
      </c>
      <c r="D856" s="56" t="s">
        <v>9</v>
      </c>
      <c r="E856" s="56">
        <v>2020</v>
      </c>
      <c r="F856" s="56">
        <v>1040.8499999999999</v>
      </c>
      <c r="G856" t="s">
        <v>232</v>
      </c>
      <c r="H856">
        <v>1448.37</v>
      </c>
    </row>
    <row r="857" spans="1:8">
      <c r="A857" s="220">
        <v>43831</v>
      </c>
      <c r="B857" s="220">
        <v>44196</v>
      </c>
      <c r="C857" s="56" t="s">
        <v>5</v>
      </c>
      <c r="D857" s="56" t="s">
        <v>9</v>
      </c>
      <c r="E857" s="56">
        <v>2020</v>
      </c>
      <c r="F857" s="56">
        <v>963.17</v>
      </c>
      <c r="G857" t="s">
        <v>232</v>
      </c>
      <c r="H857">
        <v>1340.28</v>
      </c>
    </row>
    <row r="858" spans="1:8">
      <c r="A858" s="220">
        <v>43831</v>
      </c>
      <c r="B858" s="220">
        <v>44196</v>
      </c>
      <c r="C858" s="56" t="s">
        <v>5</v>
      </c>
      <c r="D858" s="56" t="s">
        <v>9</v>
      </c>
      <c r="E858" s="56">
        <v>2020</v>
      </c>
      <c r="F858" s="56">
        <v>1503.45</v>
      </c>
      <c r="G858" t="s">
        <v>232</v>
      </c>
      <c r="H858">
        <v>2092.08</v>
      </c>
    </row>
    <row r="859" spans="1:8">
      <c r="A859" s="220">
        <v>43466</v>
      </c>
      <c r="B859" s="220">
        <v>43830</v>
      </c>
      <c r="C859" s="56" t="s">
        <v>5</v>
      </c>
      <c r="D859" s="56" t="s">
        <v>9</v>
      </c>
      <c r="E859" s="56">
        <v>2019</v>
      </c>
      <c r="F859" s="56">
        <v>1210.18</v>
      </c>
      <c r="G859" t="s">
        <v>232</v>
      </c>
      <c r="H859">
        <v>1575.6</v>
      </c>
    </row>
    <row r="860" spans="1:8">
      <c r="A860" s="220">
        <v>43831</v>
      </c>
      <c r="B860" s="220">
        <v>44196</v>
      </c>
      <c r="C860" s="56" t="s">
        <v>5</v>
      </c>
      <c r="D860" s="56" t="s">
        <v>9</v>
      </c>
      <c r="E860" s="56">
        <v>2020</v>
      </c>
      <c r="F860" s="56">
        <v>2081.6999999999998</v>
      </c>
      <c r="G860" t="s">
        <v>232</v>
      </c>
      <c r="H860">
        <v>2896.74</v>
      </c>
    </row>
    <row r="861" spans="1:8">
      <c r="A861" s="220">
        <v>43466</v>
      </c>
      <c r="B861" s="220">
        <v>43830</v>
      </c>
      <c r="C861" s="56" t="s">
        <v>5</v>
      </c>
      <c r="D861" s="56" t="s">
        <v>9</v>
      </c>
      <c r="E861" s="56">
        <v>2019</v>
      </c>
      <c r="F861" s="56">
        <v>660.76</v>
      </c>
      <c r="G861" t="s">
        <v>232</v>
      </c>
      <c r="H861">
        <v>860.28</v>
      </c>
    </row>
    <row r="862" spans="1:8">
      <c r="A862" s="220">
        <v>43466</v>
      </c>
      <c r="B862" s="220">
        <v>43830</v>
      </c>
      <c r="C862" s="56" t="s">
        <v>5</v>
      </c>
      <c r="D862" s="56" t="s">
        <v>9</v>
      </c>
      <c r="E862" s="56">
        <v>2019</v>
      </c>
      <c r="F862" s="56">
        <v>2059.2399999999998</v>
      </c>
      <c r="G862" t="s">
        <v>232</v>
      </c>
      <c r="H862">
        <v>2681.04</v>
      </c>
    </row>
    <row r="863" spans="1:8">
      <c r="A863" s="220">
        <v>43466</v>
      </c>
      <c r="B863" s="220">
        <v>43830</v>
      </c>
      <c r="C863" s="56" t="s">
        <v>5</v>
      </c>
      <c r="D863" s="56" t="s">
        <v>9</v>
      </c>
      <c r="E863" s="56">
        <v>2019</v>
      </c>
      <c r="F863" s="56">
        <v>677.45</v>
      </c>
      <c r="G863" t="s">
        <v>232</v>
      </c>
      <c r="H863">
        <v>882.01</v>
      </c>
    </row>
    <row r="864" spans="1:8">
      <c r="A864" s="220">
        <v>43831</v>
      </c>
      <c r="B864" s="220">
        <v>44196</v>
      </c>
      <c r="C864" s="56" t="s">
        <v>5</v>
      </c>
      <c r="D864" s="56" t="s">
        <v>9</v>
      </c>
      <c r="E864" s="56">
        <v>2020</v>
      </c>
      <c r="F864" s="56">
        <v>548.98</v>
      </c>
      <c r="G864" t="s">
        <v>232</v>
      </c>
      <c r="H864">
        <v>763.92</v>
      </c>
    </row>
    <row r="865" spans="1:8">
      <c r="A865" s="220">
        <v>43466</v>
      </c>
      <c r="B865" s="220">
        <v>43830</v>
      </c>
      <c r="C865" s="56" t="s">
        <v>5</v>
      </c>
      <c r="D865" s="56" t="s">
        <v>9</v>
      </c>
      <c r="E865" s="56">
        <v>2019</v>
      </c>
      <c r="F865" s="56">
        <v>908.23</v>
      </c>
      <c r="G865" t="s">
        <v>232</v>
      </c>
      <c r="H865">
        <v>1182.48</v>
      </c>
    </row>
    <row r="866" spans="1:8">
      <c r="A866" s="220">
        <v>43466</v>
      </c>
      <c r="B866" s="220">
        <v>43830</v>
      </c>
      <c r="C866" s="56" t="s">
        <v>5</v>
      </c>
      <c r="D866" s="56" t="s">
        <v>9</v>
      </c>
      <c r="E866" s="56">
        <v>2019</v>
      </c>
      <c r="F866" s="56">
        <v>1914.63</v>
      </c>
      <c r="G866" t="s">
        <v>232</v>
      </c>
      <c r="H866">
        <v>2492.7600000000002</v>
      </c>
    </row>
    <row r="867" spans="1:8">
      <c r="A867" s="220">
        <v>43831</v>
      </c>
      <c r="B867" s="220">
        <v>44196</v>
      </c>
      <c r="C867" s="56" t="s">
        <v>5</v>
      </c>
      <c r="D867" s="56" t="s">
        <v>9</v>
      </c>
      <c r="E867" s="56">
        <v>2020</v>
      </c>
      <c r="F867" s="56">
        <v>1614.69</v>
      </c>
      <c r="G867" t="s">
        <v>232</v>
      </c>
      <c r="H867">
        <v>2246.88</v>
      </c>
    </row>
    <row r="868" spans="1:8">
      <c r="A868" s="220">
        <v>43466</v>
      </c>
      <c r="B868" s="220">
        <v>43830</v>
      </c>
      <c r="C868" s="56" t="s">
        <v>5</v>
      </c>
      <c r="D868" s="56" t="s">
        <v>9</v>
      </c>
      <c r="E868" s="56">
        <v>2019</v>
      </c>
      <c r="F868" s="56">
        <v>797.72</v>
      </c>
      <c r="G868" t="s">
        <v>232</v>
      </c>
      <c r="H868">
        <v>1038.5999999999999</v>
      </c>
    </row>
    <row r="869" spans="1:8">
      <c r="A869" s="220">
        <v>43831</v>
      </c>
      <c r="B869" s="220">
        <v>44196</v>
      </c>
      <c r="C869" s="56" t="s">
        <v>5</v>
      </c>
      <c r="D869" s="56" t="s">
        <v>9</v>
      </c>
      <c r="E869" s="56">
        <v>2020</v>
      </c>
      <c r="F869" s="56">
        <v>3347.03</v>
      </c>
      <c r="G869" t="s">
        <v>232</v>
      </c>
      <c r="H869">
        <v>4657.47</v>
      </c>
    </row>
    <row r="870" spans="1:8">
      <c r="A870" s="220">
        <v>43831</v>
      </c>
      <c r="B870" s="220">
        <v>44196</v>
      </c>
      <c r="C870" s="56" t="s">
        <v>5</v>
      </c>
      <c r="D870" s="56" t="s">
        <v>9</v>
      </c>
      <c r="E870" s="56">
        <v>2020</v>
      </c>
      <c r="F870" s="56">
        <v>1341.93</v>
      </c>
      <c r="G870" t="s">
        <v>232</v>
      </c>
      <c r="H870">
        <v>1867.32</v>
      </c>
    </row>
    <row r="871" spans="1:8">
      <c r="A871" s="220">
        <v>43831</v>
      </c>
      <c r="B871" s="220">
        <v>44196</v>
      </c>
      <c r="C871" s="56" t="s">
        <v>5</v>
      </c>
      <c r="D871" s="56" t="s">
        <v>9</v>
      </c>
      <c r="E871" s="56">
        <v>2020</v>
      </c>
      <c r="F871" s="56">
        <v>420.14</v>
      </c>
      <c r="G871" t="s">
        <v>232</v>
      </c>
      <c r="H871">
        <v>584.64</v>
      </c>
    </row>
    <row r="872" spans="1:8">
      <c r="A872" s="220">
        <v>43466</v>
      </c>
      <c r="B872" s="220">
        <v>43830</v>
      </c>
      <c r="C872" s="56" t="s">
        <v>5</v>
      </c>
      <c r="D872" s="56" t="s">
        <v>9</v>
      </c>
      <c r="E872" s="56">
        <v>2019</v>
      </c>
      <c r="F872" s="56">
        <v>110.27</v>
      </c>
      <c r="G872" t="s">
        <v>232</v>
      </c>
      <c r="H872">
        <v>143.57</v>
      </c>
    </row>
    <row r="873" spans="1:8">
      <c r="A873" s="220">
        <v>43466</v>
      </c>
      <c r="B873" s="220">
        <v>43830</v>
      </c>
      <c r="C873" s="56" t="s">
        <v>5</v>
      </c>
      <c r="D873" s="56" t="s">
        <v>9</v>
      </c>
      <c r="E873" s="56">
        <v>2019</v>
      </c>
      <c r="F873" s="56">
        <v>1004.28</v>
      </c>
      <c r="G873" t="s">
        <v>232</v>
      </c>
      <c r="H873">
        <v>1307.53</v>
      </c>
    </row>
    <row r="874" spans="1:8">
      <c r="A874" s="220">
        <v>43831</v>
      </c>
      <c r="B874" s="220">
        <v>44196</v>
      </c>
      <c r="C874" s="56" t="s">
        <v>5</v>
      </c>
      <c r="D874" s="56" t="s">
        <v>9</v>
      </c>
      <c r="E874" s="56">
        <v>2020</v>
      </c>
      <c r="F874" s="56">
        <v>827.7</v>
      </c>
      <c r="G874" t="s">
        <v>232</v>
      </c>
      <c r="H874">
        <v>1151.76</v>
      </c>
    </row>
    <row r="875" spans="1:8">
      <c r="A875" s="220">
        <v>43831</v>
      </c>
      <c r="B875" s="220">
        <v>44196</v>
      </c>
      <c r="C875" s="56" t="s">
        <v>5</v>
      </c>
      <c r="D875" s="56" t="s">
        <v>9</v>
      </c>
      <c r="E875" s="56">
        <v>2020</v>
      </c>
      <c r="F875" s="56">
        <v>466.4</v>
      </c>
      <c r="G875" t="s">
        <v>232</v>
      </c>
      <c r="H875">
        <v>649</v>
      </c>
    </row>
    <row r="876" spans="1:8">
      <c r="A876" s="220">
        <v>43831</v>
      </c>
      <c r="B876" s="220">
        <v>44196</v>
      </c>
      <c r="C876" s="56" t="s">
        <v>5</v>
      </c>
      <c r="D876" s="56" t="s">
        <v>9</v>
      </c>
      <c r="E876" s="56">
        <v>2020</v>
      </c>
      <c r="F876" s="56">
        <v>2197.41</v>
      </c>
      <c r="G876" t="s">
        <v>232</v>
      </c>
      <c r="H876">
        <v>3057.75</v>
      </c>
    </row>
    <row r="877" spans="1:8">
      <c r="A877" s="220">
        <v>43831</v>
      </c>
      <c r="B877" s="220">
        <v>44196</v>
      </c>
      <c r="C877" s="56" t="s">
        <v>5</v>
      </c>
      <c r="D877" s="56" t="s">
        <v>9</v>
      </c>
      <c r="E877" s="56">
        <v>2020</v>
      </c>
      <c r="F877" s="56">
        <v>594.77</v>
      </c>
      <c r="G877" t="s">
        <v>232</v>
      </c>
      <c r="H877">
        <v>827.64</v>
      </c>
    </row>
    <row r="878" spans="1:8">
      <c r="A878" s="220">
        <v>43831</v>
      </c>
      <c r="B878" s="220">
        <v>44196</v>
      </c>
      <c r="C878" s="56" t="s">
        <v>5</v>
      </c>
      <c r="D878" s="56" t="s">
        <v>9</v>
      </c>
      <c r="E878" s="56">
        <v>2020</v>
      </c>
      <c r="F878" s="56">
        <v>136.56</v>
      </c>
      <c r="G878" t="s">
        <v>232</v>
      </c>
      <c r="H878">
        <v>190.03</v>
      </c>
    </row>
    <row r="879" spans="1:8">
      <c r="A879" s="220">
        <v>43831</v>
      </c>
      <c r="B879" s="220">
        <v>44196</v>
      </c>
      <c r="C879" s="56" t="s">
        <v>5</v>
      </c>
      <c r="D879" s="56" t="s">
        <v>9</v>
      </c>
      <c r="E879" s="56">
        <v>2020</v>
      </c>
      <c r="F879" s="56">
        <v>949.2</v>
      </c>
      <c r="G879" t="s">
        <v>232</v>
      </c>
      <c r="H879">
        <v>1320.84</v>
      </c>
    </row>
    <row r="880" spans="1:8">
      <c r="A880" s="220">
        <v>43466</v>
      </c>
      <c r="B880" s="220">
        <v>43830</v>
      </c>
      <c r="C880" s="56" t="s">
        <v>5</v>
      </c>
      <c r="D880" s="56" t="s">
        <v>9</v>
      </c>
      <c r="E880" s="56">
        <v>2019</v>
      </c>
      <c r="F880" s="56">
        <v>999.48</v>
      </c>
      <c r="G880" t="s">
        <v>232</v>
      </c>
      <c r="H880">
        <v>1301.28</v>
      </c>
    </row>
    <row r="881" spans="1:8">
      <c r="A881" s="220">
        <v>43831</v>
      </c>
      <c r="B881" s="220">
        <v>44196</v>
      </c>
      <c r="C881" s="56" t="s">
        <v>5</v>
      </c>
      <c r="D881" s="56" t="s">
        <v>9</v>
      </c>
      <c r="E881" s="56">
        <v>2020</v>
      </c>
      <c r="F881" s="56">
        <v>783.75</v>
      </c>
      <c r="G881" t="s">
        <v>232</v>
      </c>
      <c r="H881">
        <v>1090.5999999999999</v>
      </c>
    </row>
    <row r="882" spans="1:8">
      <c r="A882" s="220">
        <v>43466</v>
      </c>
      <c r="B882" s="220">
        <v>43830</v>
      </c>
      <c r="C882" s="56" t="s">
        <v>5</v>
      </c>
      <c r="D882" s="56" t="s">
        <v>9</v>
      </c>
      <c r="E882" s="56">
        <v>2019</v>
      </c>
      <c r="F882" s="56">
        <v>34.68</v>
      </c>
      <c r="G882" t="s">
        <v>232</v>
      </c>
      <c r="H882">
        <v>45.15</v>
      </c>
    </row>
    <row r="883" spans="1:8">
      <c r="A883" s="220">
        <v>43466</v>
      </c>
      <c r="B883" s="220">
        <v>43830</v>
      </c>
      <c r="C883" s="56" t="s">
        <v>5</v>
      </c>
      <c r="D883" s="56" t="s">
        <v>9</v>
      </c>
      <c r="E883" s="56">
        <v>2019</v>
      </c>
      <c r="F883" s="56">
        <v>599.74</v>
      </c>
      <c r="G883" t="s">
        <v>232</v>
      </c>
      <c r="H883">
        <v>780.84</v>
      </c>
    </row>
    <row r="884" spans="1:8">
      <c r="A884" s="220">
        <v>43831</v>
      </c>
      <c r="B884" s="220">
        <v>44196</v>
      </c>
      <c r="C884" s="56" t="s">
        <v>5</v>
      </c>
      <c r="D884" s="56" t="s">
        <v>9</v>
      </c>
      <c r="E884" s="56">
        <v>2020</v>
      </c>
      <c r="F884" s="56">
        <v>983.27</v>
      </c>
      <c r="G884" t="s">
        <v>232</v>
      </c>
      <c r="H884">
        <v>1368.24</v>
      </c>
    </row>
    <row r="885" spans="1:8">
      <c r="A885" s="220">
        <v>43466</v>
      </c>
      <c r="B885" s="220">
        <v>43830</v>
      </c>
      <c r="C885" s="56" t="s">
        <v>5</v>
      </c>
      <c r="D885" s="56" t="s">
        <v>9</v>
      </c>
      <c r="E885" s="56">
        <v>2019</v>
      </c>
      <c r="F885" s="56">
        <v>535.69000000000005</v>
      </c>
      <c r="G885" t="s">
        <v>232</v>
      </c>
      <c r="H885">
        <v>697.44</v>
      </c>
    </row>
    <row r="886" spans="1:8">
      <c r="A886" s="220">
        <v>43831</v>
      </c>
      <c r="B886" s="220">
        <v>44196</v>
      </c>
      <c r="C886" s="56" t="s">
        <v>5</v>
      </c>
      <c r="D886" s="56" t="s">
        <v>9</v>
      </c>
      <c r="E886" s="56">
        <v>2020</v>
      </c>
      <c r="F886" s="56">
        <v>688.17</v>
      </c>
      <c r="G886" t="s">
        <v>232</v>
      </c>
      <c r="H886">
        <v>957.6</v>
      </c>
    </row>
    <row r="887" spans="1:8">
      <c r="A887" s="220">
        <v>43831</v>
      </c>
      <c r="B887" s="220">
        <v>44196</v>
      </c>
      <c r="C887" s="56" t="s">
        <v>5</v>
      </c>
      <c r="D887" s="56" t="s">
        <v>9</v>
      </c>
      <c r="E887" s="56">
        <v>2020</v>
      </c>
      <c r="F887" s="56">
        <v>1139.3599999999999</v>
      </c>
      <c r="G887" t="s">
        <v>232</v>
      </c>
      <c r="H887">
        <v>1585.44</v>
      </c>
    </row>
    <row r="888" spans="1:8">
      <c r="A888" s="220">
        <v>43831</v>
      </c>
      <c r="B888" s="220">
        <v>44196</v>
      </c>
      <c r="C888" s="56" t="s">
        <v>5</v>
      </c>
      <c r="D888" s="56" t="s">
        <v>9</v>
      </c>
      <c r="E888" s="56">
        <v>2020</v>
      </c>
      <c r="F888" s="56">
        <v>751.72</v>
      </c>
      <c r="G888" t="s">
        <v>232</v>
      </c>
      <c r="H888">
        <v>1046.04</v>
      </c>
    </row>
    <row r="889" spans="1:8">
      <c r="A889" s="220">
        <v>43831</v>
      </c>
      <c r="B889" s="220">
        <v>44196</v>
      </c>
      <c r="C889" s="56" t="s">
        <v>5</v>
      </c>
      <c r="D889" s="56" t="s">
        <v>9</v>
      </c>
      <c r="E889" s="56">
        <v>2020</v>
      </c>
      <c r="F889" s="56">
        <v>1394.79</v>
      </c>
      <c r="G889" t="s">
        <v>232</v>
      </c>
      <c r="H889">
        <v>1940.88</v>
      </c>
    </row>
    <row r="890" spans="1:8">
      <c r="A890" s="220">
        <v>43466</v>
      </c>
      <c r="B890" s="220">
        <v>43830</v>
      </c>
      <c r="C890" s="56" t="s">
        <v>5</v>
      </c>
      <c r="D890" s="56" t="s">
        <v>9</v>
      </c>
      <c r="E890" s="56">
        <v>2019</v>
      </c>
      <c r="F890" s="56">
        <v>1546.97</v>
      </c>
      <c r="G890" t="s">
        <v>232</v>
      </c>
      <c r="H890">
        <v>2014.08</v>
      </c>
    </row>
    <row r="891" spans="1:8">
      <c r="A891" s="220">
        <v>43831</v>
      </c>
      <c r="B891" s="220">
        <v>44196</v>
      </c>
      <c r="C891" s="56" t="s">
        <v>5</v>
      </c>
      <c r="D891" s="56" t="s">
        <v>9</v>
      </c>
      <c r="E891" s="56">
        <v>2020</v>
      </c>
      <c r="F891" s="56">
        <v>2848.39</v>
      </c>
      <c r="G891" t="s">
        <v>232</v>
      </c>
      <c r="H891">
        <v>3963.6</v>
      </c>
    </row>
    <row r="892" spans="1:8">
      <c r="A892" s="220">
        <v>43466</v>
      </c>
      <c r="B892" s="220">
        <v>43830</v>
      </c>
      <c r="C892" s="56" t="s">
        <v>5</v>
      </c>
      <c r="D892" s="56" t="s">
        <v>9</v>
      </c>
      <c r="E892" s="56">
        <v>2019</v>
      </c>
      <c r="F892" s="56">
        <v>791.55</v>
      </c>
      <c r="G892" t="s">
        <v>232</v>
      </c>
      <c r="H892">
        <v>1030.56</v>
      </c>
    </row>
    <row r="893" spans="1:8">
      <c r="A893" s="220">
        <v>43466</v>
      </c>
      <c r="B893" s="220">
        <v>43830</v>
      </c>
      <c r="C893" s="56" t="s">
        <v>5</v>
      </c>
      <c r="D893" s="56" t="s">
        <v>9</v>
      </c>
      <c r="E893" s="56">
        <v>2019</v>
      </c>
      <c r="F893" s="56">
        <v>1047.78</v>
      </c>
      <c r="G893" t="s">
        <v>232</v>
      </c>
      <c r="H893">
        <v>1364.16</v>
      </c>
    </row>
    <row r="894" spans="1:8">
      <c r="A894" s="220">
        <v>43831</v>
      </c>
      <c r="B894" s="220">
        <v>44196</v>
      </c>
      <c r="C894" s="56" t="s">
        <v>5</v>
      </c>
      <c r="D894" s="56" t="s">
        <v>9</v>
      </c>
      <c r="E894" s="56">
        <v>2020</v>
      </c>
      <c r="F894" s="56">
        <v>3105.26</v>
      </c>
      <c r="G894" t="s">
        <v>232</v>
      </c>
      <c r="H894">
        <v>4321.04</v>
      </c>
    </row>
    <row r="895" spans="1:8">
      <c r="A895" s="220">
        <v>43831</v>
      </c>
      <c r="B895" s="220">
        <v>44196</v>
      </c>
      <c r="C895" s="56" t="s">
        <v>5</v>
      </c>
      <c r="D895" s="56" t="s">
        <v>9</v>
      </c>
      <c r="E895" s="56">
        <v>2020</v>
      </c>
      <c r="F895" s="56">
        <v>688.17</v>
      </c>
      <c r="G895" t="s">
        <v>232</v>
      </c>
      <c r="H895">
        <v>957.6</v>
      </c>
    </row>
    <row r="896" spans="1:8">
      <c r="A896" s="220">
        <v>43831</v>
      </c>
      <c r="B896" s="220">
        <v>44196</v>
      </c>
      <c r="C896" s="56" t="s">
        <v>5</v>
      </c>
      <c r="D896" s="56" t="s">
        <v>9</v>
      </c>
      <c r="E896" s="56">
        <v>2020</v>
      </c>
      <c r="F896" s="56">
        <v>785.44</v>
      </c>
      <c r="G896" t="s">
        <v>232</v>
      </c>
      <c r="H896">
        <v>1092.96</v>
      </c>
    </row>
    <row r="897" spans="1:8">
      <c r="A897" s="220">
        <v>43831</v>
      </c>
      <c r="B897" s="220">
        <v>44196</v>
      </c>
      <c r="C897" s="56" t="s">
        <v>5</v>
      </c>
      <c r="D897" s="56" t="s">
        <v>9</v>
      </c>
      <c r="E897" s="56">
        <v>2020</v>
      </c>
      <c r="F897" s="56">
        <v>569.67999999999995</v>
      </c>
      <c r="G897" t="s">
        <v>232</v>
      </c>
      <c r="H897">
        <v>792.72</v>
      </c>
    </row>
    <row r="898" spans="1:8">
      <c r="A898" s="220">
        <v>43466</v>
      </c>
      <c r="B898" s="220">
        <v>43830</v>
      </c>
      <c r="C898" s="56" t="s">
        <v>5</v>
      </c>
      <c r="D898" s="56" t="s">
        <v>9</v>
      </c>
      <c r="E898" s="56">
        <v>2019</v>
      </c>
      <c r="F898" s="56">
        <v>558.08000000000004</v>
      </c>
      <c r="G898" t="s">
        <v>232</v>
      </c>
      <c r="H898">
        <v>726.6</v>
      </c>
    </row>
    <row r="899" spans="1:8">
      <c r="A899" s="220">
        <v>43831</v>
      </c>
      <c r="B899" s="220">
        <v>44196</v>
      </c>
      <c r="C899" s="56" t="s">
        <v>5</v>
      </c>
      <c r="D899" s="56" t="s">
        <v>9</v>
      </c>
      <c r="E899" s="56">
        <v>2020</v>
      </c>
      <c r="F899" s="56">
        <v>560.19000000000005</v>
      </c>
      <c r="G899" t="s">
        <v>232</v>
      </c>
      <c r="H899">
        <v>779.52</v>
      </c>
    </row>
    <row r="900" spans="1:8">
      <c r="A900" s="220">
        <v>43466</v>
      </c>
      <c r="B900" s="220">
        <v>43830</v>
      </c>
      <c r="C900" s="56" t="s">
        <v>5</v>
      </c>
      <c r="D900" s="56" t="s">
        <v>9</v>
      </c>
      <c r="E900" s="56">
        <v>2019</v>
      </c>
      <c r="F900" s="56">
        <v>2936.88</v>
      </c>
      <c r="G900" t="s">
        <v>232</v>
      </c>
      <c r="H900">
        <v>3823.68</v>
      </c>
    </row>
    <row r="901" spans="1:8">
      <c r="A901" s="220">
        <v>43831</v>
      </c>
      <c r="B901" s="220">
        <v>44196</v>
      </c>
      <c r="C901" s="56" t="s">
        <v>5</v>
      </c>
      <c r="D901" s="56" t="s">
        <v>9</v>
      </c>
      <c r="E901" s="56">
        <v>2020</v>
      </c>
      <c r="F901" s="56">
        <v>1110.08</v>
      </c>
      <c r="G901" t="s">
        <v>232</v>
      </c>
      <c r="H901">
        <v>1544.7</v>
      </c>
    </row>
    <row r="902" spans="1:8">
      <c r="A902" s="220">
        <v>43466</v>
      </c>
      <c r="B902" s="220">
        <v>43830</v>
      </c>
      <c r="C902" s="56" t="s">
        <v>5</v>
      </c>
      <c r="D902" s="56" t="s">
        <v>9</v>
      </c>
      <c r="E902" s="56">
        <v>2019</v>
      </c>
      <c r="F902" s="56">
        <v>396.86</v>
      </c>
      <c r="G902" t="s">
        <v>232</v>
      </c>
      <c r="H902">
        <v>516.69000000000005</v>
      </c>
    </row>
    <row r="903" spans="1:8">
      <c r="A903" s="220">
        <v>43831</v>
      </c>
      <c r="B903" s="220">
        <v>44196</v>
      </c>
      <c r="C903" s="56" t="s">
        <v>5</v>
      </c>
      <c r="D903" s="56" t="s">
        <v>9</v>
      </c>
      <c r="E903" s="56">
        <v>2020</v>
      </c>
      <c r="F903" s="56">
        <v>2635.39</v>
      </c>
      <c r="G903" t="s">
        <v>232</v>
      </c>
      <c r="H903">
        <v>3667.21</v>
      </c>
    </row>
    <row r="904" spans="1:8">
      <c r="A904" s="220">
        <v>43831</v>
      </c>
      <c r="B904" s="220">
        <v>44196</v>
      </c>
      <c r="C904" s="56" t="s">
        <v>5</v>
      </c>
      <c r="D904" s="56" t="s">
        <v>9</v>
      </c>
      <c r="E904" s="56">
        <v>2020</v>
      </c>
      <c r="F904" s="56">
        <v>827.7</v>
      </c>
      <c r="G904" t="s">
        <v>232</v>
      </c>
      <c r="H904">
        <v>1151.76</v>
      </c>
    </row>
    <row r="905" spans="1:8">
      <c r="A905" s="220">
        <v>43831</v>
      </c>
      <c r="B905" s="220">
        <v>44196</v>
      </c>
      <c r="C905" s="56" t="s">
        <v>5</v>
      </c>
      <c r="D905" s="56" t="s">
        <v>9</v>
      </c>
      <c r="E905" s="56">
        <v>2020</v>
      </c>
      <c r="F905" s="56">
        <v>526.72</v>
      </c>
      <c r="G905" t="s">
        <v>232</v>
      </c>
      <c r="H905">
        <v>732.95</v>
      </c>
    </row>
    <row r="906" spans="1:8">
      <c r="A906" s="220">
        <v>43466</v>
      </c>
      <c r="B906" s="220">
        <v>43830</v>
      </c>
      <c r="C906" s="56" t="s">
        <v>5</v>
      </c>
      <c r="D906" s="56" t="s">
        <v>9</v>
      </c>
      <c r="E906" s="56">
        <v>2019</v>
      </c>
      <c r="F906" s="56">
        <v>201.67</v>
      </c>
      <c r="G906" t="s">
        <v>232</v>
      </c>
      <c r="H906">
        <v>262.56</v>
      </c>
    </row>
    <row r="907" spans="1:8">
      <c r="A907" s="220">
        <v>43466</v>
      </c>
      <c r="B907" s="220">
        <v>43830</v>
      </c>
      <c r="C907" s="56" t="s">
        <v>5</v>
      </c>
      <c r="D907" s="56" t="s">
        <v>9</v>
      </c>
      <c r="E907" s="56">
        <v>2019</v>
      </c>
      <c r="F907" s="56">
        <v>999.48</v>
      </c>
      <c r="G907" t="s">
        <v>232</v>
      </c>
      <c r="H907">
        <v>1301.28</v>
      </c>
    </row>
    <row r="908" spans="1:8">
      <c r="A908" s="220">
        <v>43831</v>
      </c>
      <c r="B908" s="220">
        <v>44196</v>
      </c>
      <c r="C908" s="56" t="s">
        <v>5</v>
      </c>
      <c r="D908" s="56" t="s">
        <v>9</v>
      </c>
      <c r="E908" s="56">
        <v>2020</v>
      </c>
      <c r="F908" s="56">
        <v>895.46</v>
      </c>
      <c r="G908" t="s">
        <v>232</v>
      </c>
      <c r="H908">
        <v>1246.05</v>
      </c>
    </row>
    <row r="909" spans="1:8">
      <c r="A909" s="220">
        <v>43466</v>
      </c>
      <c r="B909" s="220">
        <v>43830</v>
      </c>
      <c r="C909" s="56" t="s">
        <v>5</v>
      </c>
      <c r="D909" s="56" t="s">
        <v>9</v>
      </c>
      <c r="E909" s="56">
        <v>2019</v>
      </c>
      <c r="F909" s="56">
        <v>773.48</v>
      </c>
      <c r="G909" t="s">
        <v>232</v>
      </c>
      <c r="H909">
        <v>1007.04</v>
      </c>
    </row>
    <row r="910" spans="1:8">
      <c r="A910" s="220">
        <v>43831</v>
      </c>
      <c r="B910" s="220">
        <v>44196</v>
      </c>
      <c r="C910" s="56" t="s">
        <v>5</v>
      </c>
      <c r="D910" s="56" t="s">
        <v>9</v>
      </c>
      <c r="E910" s="56">
        <v>2020</v>
      </c>
      <c r="F910" s="56">
        <v>807.35</v>
      </c>
      <c r="G910" t="s">
        <v>232</v>
      </c>
      <c r="H910">
        <v>1123.44</v>
      </c>
    </row>
    <row r="911" spans="1:8">
      <c r="A911" s="220">
        <v>43831</v>
      </c>
      <c r="B911" s="220">
        <v>44196</v>
      </c>
      <c r="C911" s="56" t="s">
        <v>5</v>
      </c>
      <c r="D911" s="56" t="s">
        <v>9</v>
      </c>
      <c r="E911" s="56">
        <v>2020</v>
      </c>
      <c r="F911" s="56">
        <v>516.47</v>
      </c>
      <c r="G911" t="s">
        <v>232</v>
      </c>
      <c r="H911">
        <v>718.68</v>
      </c>
    </row>
    <row r="912" spans="1:8">
      <c r="A912" s="220">
        <v>43831</v>
      </c>
      <c r="B912" s="220">
        <v>44196</v>
      </c>
      <c r="C912" s="56" t="s">
        <v>5</v>
      </c>
      <c r="D912" s="56" t="s">
        <v>9</v>
      </c>
      <c r="E912" s="56">
        <v>2020</v>
      </c>
      <c r="F912" s="56">
        <v>3022.04</v>
      </c>
      <c r="G912" t="s">
        <v>232</v>
      </c>
      <c r="H912">
        <v>4205.24</v>
      </c>
    </row>
    <row r="913" spans="1:8">
      <c r="A913" s="220">
        <v>43831</v>
      </c>
      <c r="B913" s="220">
        <v>44196</v>
      </c>
      <c r="C913" s="56" t="s">
        <v>5</v>
      </c>
      <c r="D913" s="56" t="s">
        <v>9</v>
      </c>
      <c r="E913" s="56">
        <v>2020</v>
      </c>
      <c r="F913" s="56">
        <v>560.19000000000005</v>
      </c>
      <c r="G913" t="s">
        <v>232</v>
      </c>
      <c r="H913">
        <v>779.52</v>
      </c>
    </row>
    <row r="914" spans="1:8">
      <c r="A914" s="220">
        <v>43466</v>
      </c>
      <c r="B914" s="220">
        <v>43830</v>
      </c>
      <c r="C914" s="56" t="s">
        <v>5</v>
      </c>
      <c r="D914" s="56" t="s">
        <v>9</v>
      </c>
      <c r="E914" s="56">
        <v>2019</v>
      </c>
      <c r="F914" s="56">
        <v>476.88</v>
      </c>
      <c r="G914" t="s">
        <v>232</v>
      </c>
      <c r="H914">
        <v>620.88</v>
      </c>
    </row>
    <row r="915" spans="1:8">
      <c r="A915" s="220">
        <v>43831</v>
      </c>
      <c r="B915" s="220">
        <v>44196</v>
      </c>
      <c r="C915" s="56" t="s">
        <v>5</v>
      </c>
      <c r="D915" s="56" t="s">
        <v>9</v>
      </c>
      <c r="E915" s="56">
        <v>2020</v>
      </c>
      <c r="F915" s="56">
        <v>597.19000000000005</v>
      </c>
      <c r="G915" t="s">
        <v>232</v>
      </c>
      <c r="H915">
        <v>831</v>
      </c>
    </row>
    <row r="916" spans="1:8">
      <c r="A916" s="220">
        <v>43466</v>
      </c>
      <c r="B916" s="220">
        <v>43830</v>
      </c>
      <c r="C916" s="56" t="s">
        <v>5</v>
      </c>
      <c r="D916" s="56" t="s">
        <v>9</v>
      </c>
      <c r="E916" s="56">
        <v>2019</v>
      </c>
      <c r="F916" s="56">
        <v>664.25</v>
      </c>
      <c r="G916" t="s">
        <v>232</v>
      </c>
      <c r="H916">
        <v>864.82</v>
      </c>
    </row>
    <row r="917" spans="1:8">
      <c r="A917" s="220">
        <v>43831</v>
      </c>
      <c r="B917" s="220">
        <v>44196</v>
      </c>
      <c r="C917" s="56" t="s">
        <v>5</v>
      </c>
      <c r="D917" s="56" t="s">
        <v>9</v>
      </c>
      <c r="E917" s="56">
        <v>2020</v>
      </c>
      <c r="F917" s="56">
        <v>528.63</v>
      </c>
      <c r="G917" t="s">
        <v>232</v>
      </c>
      <c r="H917">
        <v>735.6</v>
      </c>
    </row>
    <row r="918" spans="1:8">
      <c r="A918" s="220">
        <v>43466</v>
      </c>
      <c r="B918" s="220">
        <v>43830</v>
      </c>
      <c r="C918" s="56" t="s">
        <v>5</v>
      </c>
      <c r="D918" s="56" t="s">
        <v>9</v>
      </c>
      <c r="E918" s="56">
        <v>2019</v>
      </c>
      <c r="F918" s="56">
        <v>1729.14</v>
      </c>
      <c r="G918" t="s">
        <v>232</v>
      </c>
      <c r="H918">
        <v>2251.2600000000002</v>
      </c>
    </row>
    <row r="919" spans="1:8">
      <c r="A919" s="220">
        <v>43831</v>
      </c>
      <c r="B919" s="220">
        <v>44196</v>
      </c>
      <c r="C919" s="56" t="s">
        <v>5</v>
      </c>
      <c r="D919" s="56" t="s">
        <v>9</v>
      </c>
      <c r="E919" s="56">
        <v>2020</v>
      </c>
      <c r="F919" s="56">
        <v>935.67</v>
      </c>
      <c r="G919" t="s">
        <v>232</v>
      </c>
      <c r="H919">
        <v>1302</v>
      </c>
    </row>
    <row r="920" spans="1:8">
      <c r="A920" s="220">
        <v>43831</v>
      </c>
      <c r="B920" s="220">
        <v>44196</v>
      </c>
      <c r="C920" s="56" t="s">
        <v>5</v>
      </c>
      <c r="D920" s="56" t="s">
        <v>9</v>
      </c>
      <c r="E920" s="56">
        <v>2020</v>
      </c>
      <c r="F920" s="56">
        <v>344.87</v>
      </c>
      <c r="G920" t="s">
        <v>232</v>
      </c>
      <c r="H920">
        <v>479.9</v>
      </c>
    </row>
    <row r="921" spans="1:8">
      <c r="A921" s="220">
        <v>43466</v>
      </c>
      <c r="B921" s="220">
        <v>43830</v>
      </c>
      <c r="C921" s="56" t="s">
        <v>5</v>
      </c>
      <c r="D921" s="56" t="s">
        <v>9</v>
      </c>
      <c r="E921" s="56">
        <v>2019</v>
      </c>
      <c r="F921" s="56">
        <v>1937.3</v>
      </c>
      <c r="G921" t="s">
        <v>232</v>
      </c>
      <c r="H921">
        <v>2522.27</v>
      </c>
    </row>
    <row r="922" spans="1:8">
      <c r="A922" s="220">
        <v>43466</v>
      </c>
      <c r="B922" s="220">
        <v>43830</v>
      </c>
      <c r="C922" s="56" t="s">
        <v>5</v>
      </c>
      <c r="D922" s="56" t="s">
        <v>9</v>
      </c>
      <c r="E922" s="56">
        <v>2019</v>
      </c>
      <c r="F922" s="56">
        <v>484.63</v>
      </c>
      <c r="G922" t="s">
        <v>232</v>
      </c>
      <c r="H922">
        <v>630.96</v>
      </c>
    </row>
    <row r="923" spans="1:8">
      <c r="A923" s="220">
        <v>43831</v>
      </c>
      <c r="B923" s="220">
        <v>44196</v>
      </c>
      <c r="C923" s="56" t="s">
        <v>5</v>
      </c>
      <c r="D923" s="56" t="s">
        <v>9</v>
      </c>
      <c r="E923" s="56">
        <v>2020</v>
      </c>
      <c r="F923" s="56">
        <v>1189.55</v>
      </c>
      <c r="G923" t="s">
        <v>232</v>
      </c>
      <c r="H923">
        <v>1655.28</v>
      </c>
    </row>
    <row r="924" spans="1:8">
      <c r="A924" s="220">
        <v>43466</v>
      </c>
      <c r="B924" s="220">
        <v>43830</v>
      </c>
      <c r="C924" s="56" t="s">
        <v>5</v>
      </c>
      <c r="D924" s="56" t="s">
        <v>9</v>
      </c>
      <c r="E924" s="56">
        <v>2019</v>
      </c>
      <c r="F924" s="56">
        <v>577.99</v>
      </c>
      <c r="G924" t="s">
        <v>232</v>
      </c>
      <c r="H924">
        <v>752.52</v>
      </c>
    </row>
    <row r="925" spans="1:8">
      <c r="A925" s="220">
        <v>43831</v>
      </c>
      <c r="B925" s="220">
        <v>44196</v>
      </c>
      <c r="C925" s="56" t="s">
        <v>5</v>
      </c>
      <c r="D925" s="56" t="s">
        <v>9</v>
      </c>
      <c r="E925" s="56">
        <v>2020</v>
      </c>
      <c r="F925" s="56">
        <v>530.01</v>
      </c>
      <c r="G925" t="s">
        <v>232</v>
      </c>
      <c r="H925">
        <v>737.52</v>
      </c>
    </row>
    <row r="926" spans="1:8">
      <c r="A926" s="220">
        <v>43466</v>
      </c>
      <c r="B926" s="220">
        <v>43830</v>
      </c>
      <c r="C926" s="56" t="s">
        <v>5</v>
      </c>
      <c r="D926" s="56" t="s">
        <v>9</v>
      </c>
      <c r="E926" s="56">
        <v>2019</v>
      </c>
      <c r="F926" s="56">
        <v>2345.6999999999998</v>
      </c>
      <c r="G926" t="s">
        <v>232</v>
      </c>
      <c r="H926">
        <v>3054</v>
      </c>
    </row>
    <row r="927" spans="1:8">
      <c r="A927" s="220">
        <v>43831</v>
      </c>
      <c r="B927" s="220">
        <v>44196</v>
      </c>
      <c r="C927" s="56" t="s">
        <v>5</v>
      </c>
      <c r="D927" s="56" t="s">
        <v>9</v>
      </c>
      <c r="E927" s="56">
        <v>2020</v>
      </c>
      <c r="F927" s="56">
        <v>935.67</v>
      </c>
      <c r="G927" t="s">
        <v>232</v>
      </c>
      <c r="H927">
        <v>1302</v>
      </c>
    </row>
    <row r="928" spans="1:8">
      <c r="A928" s="220">
        <v>43466</v>
      </c>
      <c r="B928" s="220">
        <v>43830</v>
      </c>
      <c r="C928" s="56" t="s">
        <v>5</v>
      </c>
      <c r="D928" s="56" t="s">
        <v>9</v>
      </c>
      <c r="E928" s="56">
        <v>2019</v>
      </c>
      <c r="F928" s="56">
        <v>1005.9</v>
      </c>
      <c r="G928" t="s">
        <v>232</v>
      </c>
      <c r="H928">
        <v>1309.6300000000001</v>
      </c>
    </row>
    <row r="929" spans="1:8">
      <c r="A929" s="220">
        <v>43831</v>
      </c>
      <c r="B929" s="220">
        <v>44196</v>
      </c>
      <c r="C929" s="56" t="s">
        <v>5</v>
      </c>
      <c r="D929" s="56" t="s">
        <v>9</v>
      </c>
      <c r="E929" s="56">
        <v>2020</v>
      </c>
      <c r="F929" s="56">
        <v>688.17</v>
      </c>
      <c r="G929" t="s">
        <v>232</v>
      </c>
      <c r="H929">
        <v>957.6</v>
      </c>
    </row>
    <row r="930" spans="1:8">
      <c r="A930" s="220">
        <v>43831</v>
      </c>
      <c r="B930" s="220">
        <v>44196</v>
      </c>
      <c r="C930" s="56" t="s">
        <v>5</v>
      </c>
      <c r="D930" s="56" t="s">
        <v>9</v>
      </c>
      <c r="E930" s="56">
        <v>2020</v>
      </c>
      <c r="F930" s="56">
        <v>733.41</v>
      </c>
      <c r="G930" t="s">
        <v>232</v>
      </c>
      <c r="H930">
        <v>1020.56</v>
      </c>
    </row>
    <row r="931" spans="1:8">
      <c r="A931" s="220">
        <v>43466</v>
      </c>
      <c r="B931" s="220">
        <v>43830</v>
      </c>
      <c r="C931" s="56" t="s">
        <v>5</v>
      </c>
      <c r="D931" s="56" t="s">
        <v>9</v>
      </c>
      <c r="E931" s="56">
        <v>2019</v>
      </c>
      <c r="F931" s="56">
        <v>3166.19</v>
      </c>
      <c r="G931" t="s">
        <v>232</v>
      </c>
      <c r="H931">
        <v>4122.24</v>
      </c>
    </row>
    <row r="932" spans="1:8">
      <c r="A932" s="220">
        <v>43831</v>
      </c>
      <c r="B932" s="220">
        <v>44196</v>
      </c>
      <c r="C932" s="56" t="s">
        <v>5</v>
      </c>
      <c r="D932" s="56" t="s">
        <v>9</v>
      </c>
      <c r="E932" s="56">
        <v>2020</v>
      </c>
      <c r="F932" s="56">
        <v>1875.25</v>
      </c>
      <c r="G932" t="s">
        <v>232</v>
      </c>
      <c r="H932">
        <v>2609.46</v>
      </c>
    </row>
    <row r="933" spans="1:8">
      <c r="A933" s="220">
        <v>43466</v>
      </c>
      <c r="B933" s="220">
        <v>43830</v>
      </c>
      <c r="C933" s="56" t="s">
        <v>5</v>
      </c>
      <c r="D933" s="56" t="s">
        <v>9</v>
      </c>
      <c r="E933" s="56">
        <v>2019</v>
      </c>
      <c r="F933" s="56">
        <v>449.81</v>
      </c>
      <c r="G933" t="s">
        <v>232</v>
      </c>
      <c r="H933">
        <v>585.63</v>
      </c>
    </row>
    <row r="934" spans="1:8">
      <c r="A934" s="220">
        <v>43831</v>
      </c>
      <c r="B934" s="220">
        <v>44196</v>
      </c>
      <c r="C934" s="56" t="s">
        <v>5</v>
      </c>
      <c r="D934" s="56" t="s">
        <v>9</v>
      </c>
      <c r="E934" s="56">
        <v>2020</v>
      </c>
      <c r="F934" s="56">
        <v>1250.53</v>
      </c>
      <c r="G934" t="s">
        <v>232</v>
      </c>
      <c r="H934">
        <v>1740.14</v>
      </c>
    </row>
    <row r="935" spans="1:8">
      <c r="A935" s="220">
        <v>43466</v>
      </c>
      <c r="B935" s="220">
        <v>43830</v>
      </c>
      <c r="C935" s="56" t="s">
        <v>5</v>
      </c>
      <c r="D935" s="56" t="s">
        <v>9</v>
      </c>
      <c r="E935" s="56">
        <v>2019</v>
      </c>
      <c r="F935" s="56">
        <v>181.16</v>
      </c>
      <c r="G935" t="s">
        <v>232</v>
      </c>
      <c r="H935">
        <v>235.86</v>
      </c>
    </row>
    <row r="936" spans="1:8">
      <c r="A936" s="220">
        <v>43831</v>
      </c>
      <c r="B936" s="220">
        <v>44196</v>
      </c>
      <c r="C936" s="56" t="s">
        <v>5</v>
      </c>
      <c r="D936" s="56" t="s">
        <v>9</v>
      </c>
      <c r="E936" s="56">
        <v>2020</v>
      </c>
      <c r="F936" s="56">
        <v>653.33000000000004</v>
      </c>
      <c r="G936" t="s">
        <v>232</v>
      </c>
      <c r="H936">
        <v>909.12</v>
      </c>
    </row>
    <row r="937" spans="1:8">
      <c r="A937" s="220">
        <v>43466</v>
      </c>
      <c r="B937" s="220">
        <v>43830</v>
      </c>
      <c r="C937" s="56" t="s">
        <v>5</v>
      </c>
      <c r="D937" s="56" t="s">
        <v>9</v>
      </c>
      <c r="E937" s="56">
        <v>2019</v>
      </c>
      <c r="F937" s="56">
        <v>682.97</v>
      </c>
      <c r="G937" t="s">
        <v>232</v>
      </c>
      <c r="H937">
        <v>889.2</v>
      </c>
    </row>
    <row r="938" spans="1:8">
      <c r="A938" s="220">
        <v>43466</v>
      </c>
      <c r="B938" s="220">
        <v>43830</v>
      </c>
      <c r="C938" s="56" t="s">
        <v>5</v>
      </c>
      <c r="D938" s="56" t="s">
        <v>9</v>
      </c>
      <c r="E938" s="56">
        <v>2019</v>
      </c>
      <c r="F938" s="56">
        <v>1898.72</v>
      </c>
      <c r="G938" t="s">
        <v>232</v>
      </c>
      <c r="H938">
        <v>2472.0500000000002</v>
      </c>
    </row>
    <row r="939" spans="1:8">
      <c r="A939" s="220">
        <v>43466</v>
      </c>
      <c r="B939" s="220">
        <v>43830</v>
      </c>
      <c r="C939" s="56" t="s">
        <v>5</v>
      </c>
      <c r="D939" s="56" t="s">
        <v>9</v>
      </c>
      <c r="E939" s="56">
        <v>2019</v>
      </c>
      <c r="F939" s="56">
        <v>1583.1</v>
      </c>
      <c r="G939" t="s">
        <v>232</v>
      </c>
      <c r="H939">
        <v>2061.12</v>
      </c>
    </row>
    <row r="940" spans="1:8">
      <c r="A940" s="220">
        <v>43831</v>
      </c>
      <c r="B940" s="220">
        <v>44196</v>
      </c>
      <c r="C940" s="56" t="s">
        <v>5</v>
      </c>
      <c r="D940" s="56" t="s">
        <v>9</v>
      </c>
      <c r="E940" s="56">
        <v>2020</v>
      </c>
      <c r="F940" s="56">
        <v>1763.7</v>
      </c>
      <c r="G940" t="s">
        <v>232</v>
      </c>
      <c r="H940">
        <v>2454.23</v>
      </c>
    </row>
    <row r="941" spans="1:8">
      <c r="A941" s="220">
        <v>43831</v>
      </c>
      <c r="B941" s="220">
        <v>44196</v>
      </c>
      <c r="C941" s="56" t="s">
        <v>5</v>
      </c>
      <c r="D941" s="56" t="s">
        <v>9</v>
      </c>
      <c r="E941" s="56">
        <v>2020</v>
      </c>
      <c r="F941" s="56">
        <v>1438.77</v>
      </c>
      <c r="G941" t="s">
        <v>232</v>
      </c>
      <c r="H941">
        <v>2002.08</v>
      </c>
    </row>
    <row r="942" spans="1:8">
      <c r="A942" s="220">
        <v>43831</v>
      </c>
      <c r="B942" s="220">
        <v>44196</v>
      </c>
      <c r="C942" s="56" t="s">
        <v>5</v>
      </c>
      <c r="D942" s="56" t="s">
        <v>9</v>
      </c>
      <c r="E942" s="56">
        <v>2020</v>
      </c>
      <c r="F942" s="56">
        <v>1266.47</v>
      </c>
      <c r="G942" t="s">
        <v>232</v>
      </c>
      <c r="H942">
        <v>1762.32</v>
      </c>
    </row>
    <row r="943" spans="1:8">
      <c r="A943" s="220">
        <v>43466</v>
      </c>
      <c r="B943" s="220">
        <v>43830</v>
      </c>
      <c r="C943" s="56" t="s">
        <v>5</v>
      </c>
      <c r="D943" s="56" t="s">
        <v>9</v>
      </c>
      <c r="E943" s="56">
        <v>2019</v>
      </c>
      <c r="F943" s="56">
        <v>169.43</v>
      </c>
      <c r="G943" t="s">
        <v>232</v>
      </c>
      <c r="H943">
        <v>220.59</v>
      </c>
    </row>
    <row r="944" spans="1:8">
      <c r="A944" s="220">
        <v>43831</v>
      </c>
      <c r="B944" s="220">
        <v>44196</v>
      </c>
      <c r="C944" s="56" t="s">
        <v>5</v>
      </c>
      <c r="D944" s="56" t="s">
        <v>9</v>
      </c>
      <c r="E944" s="56">
        <v>2020</v>
      </c>
      <c r="F944" s="56">
        <v>2397.1999999999998</v>
      </c>
      <c r="G944" t="s">
        <v>232</v>
      </c>
      <c r="H944">
        <v>3335.76</v>
      </c>
    </row>
    <row r="945" spans="1:8">
      <c r="A945" s="220">
        <v>43831</v>
      </c>
      <c r="B945" s="220">
        <v>44196</v>
      </c>
      <c r="C945" s="56" t="s">
        <v>5</v>
      </c>
      <c r="D945" s="56" t="s">
        <v>9</v>
      </c>
      <c r="E945" s="56">
        <v>2020</v>
      </c>
      <c r="F945" s="56">
        <v>266.39</v>
      </c>
      <c r="G945" t="s">
        <v>232</v>
      </c>
      <c r="H945">
        <v>370.69</v>
      </c>
    </row>
    <row r="946" spans="1:8">
      <c r="A946" s="220">
        <v>43831</v>
      </c>
      <c r="B946" s="220">
        <v>44196</v>
      </c>
      <c r="C946" s="56" t="s">
        <v>5</v>
      </c>
      <c r="D946" s="56" t="s">
        <v>9</v>
      </c>
      <c r="E946" s="56">
        <v>2020</v>
      </c>
      <c r="F946" s="56">
        <v>1637.72</v>
      </c>
      <c r="G946" t="s">
        <v>232</v>
      </c>
      <c r="H946">
        <v>2278.92</v>
      </c>
    </row>
    <row r="947" spans="1:8">
      <c r="A947" s="220">
        <v>43466</v>
      </c>
      <c r="B947" s="220">
        <v>43830</v>
      </c>
      <c r="C947" s="56" t="s">
        <v>5</v>
      </c>
      <c r="D947" s="56" t="s">
        <v>9</v>
      </c>
      <c r="E947" s="56">
        <v>2019</v>
      </c>
      <c r="F947" s="56">
        <v>999.48</v>
      </c>
      <c r="G947" t="s">
        <v>232</v>
      </c>
      <c r="H947">
        <v>1301.28</v>
      </c>
    </row>
    <row r="948" spans="1:8">
      <c r="A948" s="220">
        <v>43831</v>
      </c>
      <c r="B948" s="220">
        <v>44196</v>
      </c>
      <c r="C948" s="56" t="s">
        <v>5</v>
      </c>
      <c r="D948" s="56" t="s">
        <v>9</v>
      </c>
      <c r="E948" s="56">
        <v>2020</v>
      </c>
      <c r="F948" s="56">
        <v>653.33000000000004</v>
      </c>
      <c r="G948" t="s">
        <v>232</v>
      </c>
      <c r="H948">
        <v>909.12</v>
      </c>
    </row>
    <row r="949" spans="1:8">
      <c r="A949" s="220">
        <v>43466</v>
      </c>
      <c r="B949" s="220">
        <v>43830</v>
      </c>
      <c r="C949" s="56" t="s">
        <v>5</v>
      </c>
      <c r="D949" s="56" t="s">
        <v>9</v>
      </c>
      <c r="E949" s="56">
        <v>2019</v>
      </c>
      <c r="F949" s="56">
        <v>717.17</v>
      </c>
      <c r="G949" t="s">
        <v>232</v>
      </c>
      <c r="H949">
        <v>933.72</v>
      </c>
    </row>
    <row r="950" spans="1:8">
      <c r="A950" s="220">
        <v>43466</v>
      </c>
      <c r="B950" s="220">
        <v>43830</v>
      </c>
      <c r="C950" s="56" t="s">
        <v>5</v>
      </c>
      <c r="D950" s="56" t="s">
        <v>9</v>
      </c>
      <c r="E950" s="56">
        <v>2019</v>
      </c>
      <c r="F950" s="56">
        <v>484.63</v>
      </c>
      <c r="G950" t="s">
        <v>232</v>
      </c>
      <c r="H950">
        <v>630.96</v>
      </c>
    </row>
    <row r="951" spans="1:8">
      <c r="A951" s="220">
        <v>43831</v>
      </c>
      <c r="B951" s="220">
        <v>44196</v>
      </c>
      <c r="C951" s="56" t="s">
        <v>5</v>
      </c>
      <c r="D951" s="56" t="s">
        <v>9</v>
      </c>
      <c r="E951" s="56">
        <v>2020</v>
      </c>
      <c r="F951" s="56">
        <v>3852.7</v>
      </c>
      <c r="G951" t="s">
        <v>232</v>
      </c>
      <c r="H951">
        <v>5361.12</v>
      </c>
    </row>
    <row r="952" spans="1:8">
      <c r="A952" s="220">
        <v>43466</v>
      </c>
      <c r="B952" s="220">
        <v>43830</v>
      </c>
      <c r="C952" s="56" t="s">
        <v>5</v>
      </c>
      <c r="D952" s="56" t="s">
        <v>9</v>
      </c>
      <c r="E952" s="56">
        <v>2019</v>
      </c>
      <c r="F952" s="56">
        <v>850.08</v>
      </c>
      <c r="G952" t="s">
        <v>232</v>
      </c>
      <c r="H952">
        <v>1106.76</v>
      </c>
    </row>
    <row r="953" spans="1:8">
      <c r="A953" s="220">
        <v>43831</v>
      </c>
      <c r="B953" s="220">
        <v>44196</v>
      </c>
      <c r="C953" s="56" t="s">
        <v>5</v>
      </c>
      <c r="D953" s="56" t="s">
        <v>9</v>
      </c>
      <c r="E953" s="56">
        <v>2020</v>
      </c>
      <c r="F953" s="56">
        <v>1130.1300000000001</v>
      </c>
      <c r="G953" t="s">
        <v>232</v>
      </c>
      <c r="H953">
        <v>1572.6</v>
      </c>
    </row>
    <row r="954" spans="1:8">
      <c r="A954" s="220">
        <v>43831</v>
      </c>
      <c r="B954" s="220">
        <v>44196</v>
      </c>
      <c r="C954" s="56" t="s">
        <v>5</v>
      </c>
      <c r="D954" s="56" t="s">
        <v>9</v>
      </c>
      <c r="E954" s="56">
        <v>2020</v>
      </c>
      <c r="F954" s="56">
        <v>2263.02</v>
      </c>
      <c r="G954" t="s">
        <v>232</v>
      </c>
      <c r="H954">
        <v>3149.04</v>
      </c>
    </row>
    <row r="955" spans="1:8">
      <c r="A955" s="220">
        <v>43831</v>
      </c>
      <c r="B955" s="220">
        <v>44196</v>
      </c>
      <c r="C955" s="56" t="s">
        <v>5</v>
      </c>
      <c r="D955" s="56" t="s">
        <v>9</v>
      </c>
      <c r="E955" s="56">
        <v>2020</v>
      </c>
      <c r="F955" s="56">
        <v>1113.92</v>
      </c>
      <c r="G955" t="s">
        <v>232</v>
      </c>
      <c r="H955">
        <v>1550.04</v>
      </c>
    </row>
    <row r="956" spans="1:8">
      <c r="A956" s="220">
        <v>43831</v>
      </c>
      <c r="B956" s="220">
        <v>44196</v>
      </c>
      <c r="C956" s="56" t="s">
        <v>5</v>
      </c>
      <c r="D956" s="56" t="s">
        <v>9</v>
      </c>
      <c r="E956" s="56">
        <v>2020</v>
      </c>
      <c r="F956" s="56">
        <v>364.18</v>
      </c>
      <c r="G956" t="s">
        <v>232</v>
      </c>
      <c r="H956">
        <v>506.76</v>
      </c>
    </row>
    <row r="957" spans="1:8">
      <c r="A957" s="220">
        <v>43466</v>
      </c>
      <c r="B957" s="220">
        <v>43830</v>
      </c>
      <c r="C957" s="56" t="s">
        <v>5</v>
      </c>
      <c r="D957" s="56" t="s">
        <v>9</v>
      </c>
      <c r="E957" s="56">
        <v>2019</v>
      </c>
      <c r="F957" s="56">
        <v>1289.1400000000001</v>
      </c>
      <c r="G957" t="s">
        <v>232</v>
      </c>
      <c r="H957">
        <v>1678.4</v>
      </c>
    </row>
    <row r="958" spans="1:8">
      <c r="A958" s="220">
        <v>43831</v>
      </c>
      <c r="B958" s="220">
        <v>44196</v>
      </c>
      <c r="C958" s="56" t="s">
        <v>5</v>
      </c>
      <c r="D958" s="56" t="s">
        <v>9</v>
      </c>
      <c r="E958" s="56">
        <v>2020</v>
      </c>
      <c r="F958" s="56">
        <v>1056.71</v>
      </c>
      <c r="G958" t="s">
        <v>232</v>
      </c>
      <c r="H958">
        <v>1470.44</v>
      </c>
    </row>
    <row r="959" spans="1:8">
      <c r="A959" s="220">
        <v>43466</v>
      </c>
      <c r="B959" s="220">
        <v>43830</v>
      </c>
      <c r="C959" s="56" t="s">
        <v>5</v>
      </c>
      <c r="D959" s="56" t="s">
        <v>9</v>
      </c>
      <c r="E959" s="56">
        <v>2019</v>
      </c>
      <c r="F959" s="56">
        <v>985.1</v>
      </c>
      <c r="G959" t="s">
        <v>232</v>
      </c>
      <c r="H959">
        <v>1282.56</v>
      </c>
    </row>
    <row r="960" spans="1:8">
      <c r="A960" s="220">
        <v>43831</v>
      </c>
      <c r="B960" s="220">
        <v>44196</v>
      </c>
      <c r="C960" s="56" t="s">
        <v>5</v>
      </c>
      <c r="D960" s="56" t="s">
        <v>9</v>
      </c>
      <c r="E960" s="56">
        <v>2020</v>
      </c>
      <c r="F960" s="56">
        <v>4236.01</v>
      </c>
      <c r="G960" t="s">
        <v>232</v>
      </c>
      <c r="H960">
        <v>5894.51</v>
      </c>
    </row>
    <row r="961" spans="1:8">
      <c r="A961" s="220">
        <v>43831</v>
      </c>
      <c r="B961" s="220">
        <v>44196</v>
      </c>
      <c r="C961" s="56" t="s">
        <v>5</v>
      </c>
      <c r="D961" s="56" t="s">
        <v>9</v>
      </c>
      <c r="E961" s="56">
        <v>2020</v>
      </c>
      <c r="F961" s="56">
        <v>949.2</v>
      </c>
      <c r="G961" t="s">
        <v>232</v>
      </c>
      <c r="H961">
        <v>1320.84</v>
      </c>
    </row>
    <row r="962" spans="1:8">
      <c r="A962" s="220">
        <v>43831</v>
      </c>
      <c r="B962" s="220">
        <v>44196</v>
      </c>
      <c r="C962" s="56" t="s">
        <v>5</v>
      </c>
      <c r="D962" s="56" t="s">
        <v>9</v>
      </c>
      <c r="E962" s="56">
        <v>2020</v>
      </c>
      <c r="F962" s="56">
        <v>516.47</v>
      </c>
      <c r="G962" t="s">
        <v>232</v>
      </c>
      <c r="H962">
        <v>718.68</v>
      </c>
    </row>
    <row r="963" spans="1:8">
      <c r="A963" s="220">
        <v>43831</v>
      </c>
      <c r="B963" s="220">
        <v>44196</v>
      </c>
      <c r="C963" s="56" t="s">
        <v>5</v>
      </c>
      <c r="D963" s="56" t="s">
        <v>9</v>
      </c>
      <c r="E963" s="56">
        <v>2020</v>
      </c>
      <c r="F963" s="56">
        <v>268.66000000000003</v>
      </c>
      <c r="G963" t="s">
        <v>232</v>
      </c>
      <c r="H963">
        <v>373.84</v>
      </c>
    </row>
    <row r="964" spans="1:8">
      <c r="A964" s="220">
        <v>43466</v>
      </c>
      <c r="B964" s="220">
        <v>43830</v>
      </c>
      <c r="C964" s="56" t="s">
        <v>5</v>
      </c>
      <c r="D964" s="56" t="s">
        <v>9</v>
      </c>
      <c r="E964" s="56">
        <v>2019</v>
      </c>
      <c r="F964" s="56">
        <v>690.16</v>
      </c>
      <c r="G964" t="s">
        <v>232</v>
      </c>
      <c r="H964">
        <v>898.56</v>
      </c>
    </row>
    <row r="965" spans="1:8">
      <c r="A965" s="220">
        <v>43466</v>
      </c>
      <c r="B965" s="220">
        <v>43830</v>
      </c>
      <c r="C965" s="56" t="s">
        <v>5</v>
      </c>
      <c r="D965" s="56" t="s">
        <v>9</v>
      </c>
      <c r="E965" s="56">
        <v>2019</v>
      </c>
      <c r="F965" s="56">
        <v>1071.3699999999999</v>
      </c>
      <c r="G965" t="s">
        <v>232</v>
      </c>
      <c r="H965">
        <v>1394.88</v>
      </c>
    </row>
    <row r="966" spans="1:8">
      <c r="A966" s="220">
        <v>43466</v>
      </c>
      <c r="B966" s="220">
        <v>43830</v>
      </c>
      <c r="C966" s="56" t="s">
        <v>5</v>
      </c>
      <c r="D966" s="56" t="s">
        <v>9</v>
      </c>
      <c r="E966" s="56">
        <v>2019</v>
      </c>
      <c r="F966" s="56">
        <v>1621.4</v>
      </c>
      <c r="G966" t="s">
        <v>232</v>
      </c>
      <c r="H966">
        <v>2110.9899999999998</v>
      </c>
    </row>
    <row r="967" spans="1:8">
      <c r="A967" s="220">
        <v>43831</v>
      </c>
      <c r="B967" s="220">
        <v>44196</v>
      </c>
      <c r="C967" s="56" t="s">
        <v>5</v>
      </c>
      <c r="D967" s="56" t="s">
        <v>9</v>
      </c>
      <c r="E967" s="56">
        <v>2020</v>
      </c>
      <c r="F967" s="56">
        <v>61.22</v>
      </c>
      <c r="G967" t="s">
        <v>232</v>
      </c>
      <c r="H967">
        <v>85.19</v>
      </c>
    </row>
    <row r="968" spans="1:8">
      <c r="A968" s="220">
        <v>43466</v>
      </c>
      <c r="B968" s="220">
        <v>43830</v>
      </c>
      <c r="C968" s="56" t="s">
        <v>5</v>
      </c>
      <c r="D968" s="56" t="s">
        <v>9</v>
      </c>
      <c r="E968" s="56">
        <v>2019</v>
      </c>
      <c r="F968" s="56">
        <v>3372.15</v>
      </c>
      <c r="G968" t="s">
        <v>232</v>
      </c>
      <c r="H968">
        <v>4390.38</v>
      </c>
    </row>
    <row r="969" spans="1:8">
      <c r="A969" s="220">
        <v>43466</v>
      </c>
      <c r="B969" s="220">
        <v>43830</v>
      </c>
      <c r="C969" s="56" t="s">
        <v>5</v>
      </c>
      <c r="D969" s="56" t="s">
        <v>9</v>
      </c>
      <c r="E969" s="56">
        <v>2019</v>
      </c>
      <c r="F969" s="56">
        <v>2421.96</v>
      </c>
      <c r="G969" t="s">
        <v>232</v>
      </c>
      <c r="H969">
        <v>3153.28</v>
      </c>
    </row>
    <row r="970" spans="1:8">
      <c r="A970" s="220">
        <v>43831</v>
      </c>
      <c r="B970" s="220">
        <v>44196</v>
      </c>
      <c r="C970" s="56" t="s">
        <v>5</v>
      </c>
      <c r="D970" s="56" t="s">
        <v>9</v>
      </c>
      <c r="E970" s="56">
        <v>2020</v>
      </c>
      <c r="F970" s="56">
        <v>687.48</v>
      </c>
      <c r="G970" t="s">
        <v>232</v>
      </c>
      <c r="H970">
        <v>956.65</v>
      </c>
    </row>
    <row r="971" spans="1:8">
      <c r="A971" s="220">
        <v>43466</v>
      </c>
      <c r="B971" s="220">
        <v>43830</v>
      </c>
      <c r="C971" s="56" t="s">
        <v>5</v>
      </c>
      <c r="D971" s="56" t="s">
        <v>9</v>
      </c>
      <c r="E971" s="56">
        <v>2019</v>
      </c>
      <c r="F971" s="56">
        <v>2508.61</v>
      </c>
      <c r="G971" t="s">
        <v>232</v>
      </c>
      <c r="H971">
        <v>3266.1</v>
      </c>
    </row>
    <row r="972" spans="1:8">
      <c r="A972" s="220">
        <v>43466</v>
      </c>
      <c r="B972" s="220">
        <v>43830</v>
      </c>
      <c r="C972" s="56" t="s">
        <v>5</v>
      </c>
      <c r="D972" s="56" t="s">
        <v>9</v>
      </c>
      <c r="E972" s="56">
        <v>2019</v>
      </c>
      <c r="F972" s="56">
        <v>3539.6</v>
      </c>
      <c r="G972" t="s">
        <v>232</v>
      </c>
      <c r="H972">
        <v>4608.3999999999996</v>
      </c>
    </row>
    <row r="973" spans="1:8">
      <c r="A973" s="220">
        <v>43831</v>
      </c>
      <c r="B973" s="220">
        <v>44196</v>
      </c>
      <c r="C973" s="56" t="s">
        <v>5</v>
      </c>
      <c r="D973" s="56" t="s">
        <v>9</v>
      </c>
      <c r="E973" s="56">
        <v>2020</v>
      </c>
      <c r="F973" s="56">
        <v>893.71</v>
      </c>
      <c r="G973" t="s">
        <v>232</v>
      </c>
      <c r="H973">
        <v>1243.6199999999999</v>
      </c>
    </row>
    <row r="974" spans="1:8">
      <c r="A974" s="220">
        <v>43466</v>
      </c>
      <c r="B974" s="220">
        <v>43830</v>
      </c>
      <c r="C974" s="56" t="s">
        <v>5</v>
      </c>
      <c r="D974" s="56" t="s">
        <v>9</v>
      </c>
      <c r="E974" s="56">
        <v>2019</v>
      </c>
      <c r="F974" s="56">
        <v>558.08000000000004</v>
      </c>
      <c r="G974" t="s">
        <v>232</v>
      </c>
      <c r="H974">
        <v>726.6</v>
      </c>
    </row>
    <row r="975" spans="1:8">
      <c r="A975" s="220">
        <v>43466</v>
      </c>
      <c r="B975" s="220">
        <v>43830</v>
      </c>
      <c r="C975" s="56" t="s">
        <v>5</v>
      </c>
      <c r="D975" s="56" t="s">
        <v>9</v>
      </c>
      <c r="E975" s="56">
        <v>2019</v>
      </c>
      <c r="F975" s="56">
        <v>511.58</v>
      </c>
      <c r="G975" t="s">
        <v>232</v>
      </c>
      <c r="H975">
        <v>666.05</v>
      </c>
    </row>
    <row r="976" spans="1:8">
      <c r="A976" s="220">
        <v>43831</v>
      </c>
      <c r="B976" s="220">
        <v>44196</v>
      </c>
      <c r="C976" s="56" t="s">
        <v>5</v>
      </c>
      <c r="D976" s="56" t="s">
        <v>9</v>
      </c>
      <c r="E976" s="56">
        <v>2020</v>
      </c>
      <c r="F976" s="56">
        <v>1655.39</v>
      </c>
      <c r="G976" t="s">
        <v>232</v>
      </c>
      <c r="H976">
        <v>2303.52</v>
      </c>
    </row>
    <row r="977" spans="1:8">
      <c r="A977" s="220">
        <v>43466</v>
      </c>
      <c r="B977" s="220">
        <v>43830</v>
      </c>
      <c r="C977" s="56" t="s">
        <v>5</v>
      </c>
      <c r="D977" s="56" t="s">
        <v>9</v>
      </c>
      <c r="E977" s="56">
        <v>2019</v>
      </c>
      <c r="F977" s="56">
        <v>1189.9000000000001</v>
      </c>
      <c r="G977" t="s">
        <v>232</v>
      </c>
      <c r="H977">
        <v>1549.2</v>
      </c>
    </row>
    <row r="978" spans="1:8">
      <c r="A978" s="220">
        <v>43466</v>
      </c>
      <c r="B978" s="220">
        <v>43830</v>
      </c>
      <c r="C978" s="56" t="s">
        <v>5</v>
      </c>
      <c r="D978" s="56" t="s">
        <v>9</v>
      </c>
      <c r="E978" s="56">
        <v>2019</v>
      </c>
      <c r="F978" s="56">
        <v>1198.21</v>
      </c>
      <c r="G978" t="s">
        <v>232</v>
      </c>
      <c r="H978">
        <v>1560.02</v>
      </c>
    </row>
    <row r="979" spans="1:8">
      <c r="A979" s="220">
        <v>43466</v>
      </c>
      <c r="B979" s="220">
        <v>43830</v>
      </c>
      <c r="C979" s="56" t="s">
        <v>5</v>
      </c>
      <c r="D979" s="56" t="s">
        <v>9</v>
      </c>
      <c r="E979" s="56">
        <v>2019</v>
      </c>
      <c r="F979" s="56">
        <v>451.04</v>
      </c>
      <c r="G979" t="s">
        <v>232</v>
      </c>
      <c r="H979">
        <v>587.23</v>
      </c>
    </row>
    <row r="980" spans="1:8">
      <c r="A980" s="220">
        <v>43466</v>
      </c>
      <c r="B980" s="220">
        <v>43830</v>
      </c>
      <c r="C980" s="56" t="s">
        <v>5</v>
      </c>
      <c r="D980" s="56" t="s">
        <v>9</v>
      </c>
      <c r="E980" s="56">
        <v>2019</v>
      </c>
      <c r="F980" s="56">
        <v>513.13</v>
      </c>
      <c r="G980" t="s">
        <v>232</v>
      </c>
      <c r="H980">
        <v>668.07</v>
      </c>
    </row>
    <row r="981" spans="1:8">
      <c r="A981" s="220">
        <v>43466</v>
      </c>
      <c r="B981" s="220">
        <v>43830</v>
      </c>
      <c r="C981" s="56" t="s">
        <v>5</v>
      </c>
      <c r="D981" s="56" t="s">
        <v>9</v>
      </c>
      <c r="E981" s="56">
        <v>2019</v>
      </c>
      <c r="F981" s="56">
        <v>251.71</v>
      </c>
      <c r="G981" t="s">
        <v>232</v>
      </c>
      <c r="H981">
        <v>327.72</v>
      </c>
    </row>
    <row r="982" spans="1:8">
      <c r="A982" s="220">
        <v>43831</v>
      </c>
      <c r="B982" s="220">
        <v>44196</v>
      </c>
      <c r="C982" s="56" t="s">
        <v>5</v>
      </c>
      <c r="D982" s="56" t="s">
        <v>9</v>
      </c>
      <c r="E982" s="56">
        <v>2020</v>
      </c>
      <c r="F982" s="56">
        <v>2008.04</v>
      </c>
      <c r="G982" t="s">
        <v>232</v>
      </c>
      <c r="H982">
        <v>2794.24</v>
      </c>
    </row>
    <row r="983" spans="1:8">
      <c r="A983" s="220">
        <v>43831</v>
      </c>
      <c r="B983" s="220">
        <v>44196</v>
      </c>
      <c r="C983" s="56" t="s">
        <v>5</v>
      </c>
      <c r="D983" s="56" t="s">
        <v>9</v>
      </c>
      <c r="E983" s="56">
        <v>2020</v>
      </c>
      <c r="F983" s="56">
        <v>597.19000000000005</v>
      </c>
      <c r="G983" t="s">
        <v>232</v>
      </c>
      <c r="H983">
        <v>831</v>
      </c>
    </row>
    <row r="984" spans="1:8">
      <c r="A984" s="220">
        <v>43466</v>
      </c>
      <c r="B984" s="220">
        <v>43830</v>
      </c>
      <c r="C984" s="56" t="s">
        <v>5</v>
      </c>
      <c r="D984" s="56" t="s">
        <v>9</v>
      </c>
      <c r="E984" s="56">
        <v>2019</v>
      </c>
      <c r="F984" s="56">
        <v>626.29</v>
      </c>
      <c r="G984" t="s">
        <v>232</v>
      </c>
      <c r="H984">
        <v>815.4</v>
      </c>
    </row>
    <row r="985" spans="1:8">
      <c r="A985" s="220">
        <v>43831</v>
      </c>
      <c r="B985" s="220">
        <v>44196</v>
      </c>
      <c r="C985" s="56" t="s">
        <v>5</v>
      </c>
      <c r="D985" s="56" t="s">
        <v>9</v>
      </c>
      <c r="E985" s="56">
        <v>2020</v>
      </c>
      <c r="F985" s="56">
        <v>3275.43</v>
      </c>
      <c r="G985" t="s">
        <v>232</v>
      </c>
      <c r="H985">
        <v>4557.84</v>
      </c>
    </row>
    <row r="986" spans="1:8">
      <c r="A986" s="220">
        <v>43466</v>
      </c>
      <c r="B986" s="220">
        <v>43830</v>
      </c>
      <c r="C986" s="56" t="s">
        <v>5</v>
      </c>
      <c r="D986" s="56" t="s">
        <v>9</v>
      </c>
      <c r="E986" s="56">
        <v>2019</v>
      </c>
      <c r="F986" s="56">
        <v>1030.82</v>
      </c>
      <c r="G986" t="s">
        <v>232</v>
      </c>
      <c r="H986">
        <v>1342.08</v>
      </c>
    </row>
    <row r="987" spans="1:8">
      <c r="A987" s="220">
        <v>43466</v>
      </c>
      <c r="B987" s="220">
        <v>43830</v>
      </c>
      <c r="C987" s="56" t="s">
        <v>5</v>
      </c>
      <c r="D987" s="56" t="s">
        <v>9</v>
      </c>
      <c r="E987" s="56">
        <v>2019</v>
      </c>
      <c r="F987" s="56">
        <v>499.74</v>
      </c>
      <c r="G987" t="s">
        <v>232</v>
      </c>
      <c r="H987">
        <v>650.64</v>
      </c>
    </row>
    <row r="988" spans="1:8">
      <c r="A988" s="220">
        <v>43831</v>
      </c>
      <c r="B988" s="220">
        <v>44196</v>
      </c>
      <c r="C988" s="56" t="s">
        <v>5</v>
      </c>
      <c r="D988" s="56" t="s">
        <v>9</v>
      </c>
      <c r="E988" s="56">
        <v>2020</v>
      </c>
      <c r="F988" s="56">
        <v>1032.94</v>
      </c>
      <c r="G988" t="s">
        <v>232</v>
      </c>
      <c r="H988">
        <v>1437.36</v>
      </c>
    </row>
    <row r="989" spans="1:8">
      <c r="A989" s="220">
        <v>43466</v>
      </c>
      <c r="B989" s="220">
        <v>43830</v>
      </c>
      <c r="C989" s="56" t="s">
        <v>5</v>
      </c>
      <c r="D989" s="56" t="s">
        <v>9</v>
      </c>
      <c r="E989" s="56">
        <v>2019</v>
      </c>
      <c r="F989" s="56">
        <v>347.95</v>
      </c>
      <c r="G989" t="s">
        <v>232</v>
      </c>
      <c r="H989">
        <v>453.01</v>
      </c>
    </row>
    <row r="990" spans="1:8">
      <c r="A990" s="220">
        <v>43831</v>
      </c>
      <c r="B990" s="220">
        <v>44196</v>
      </c>
      <c r="C990" s="56" t="s">
        <v>5</v>
      </c>
      <c r="D990" s="56" t="s">
        <v>9</v>
      </c>
      <c r="E990" s="56">
        <v>2020</v>
      </c>
      <c r="F990" s="56">
        <v>1548.38</v>
      </c>
      <c r="G990" t="s">
        <v>232</v>
      </c>
      <c r="H990">
        <v>2154.6</v>
      </c>
    </row>
    <row r="991" spans="1:8">
      <c r="A991" s="220">
        <v>43466</v>
      </c>
      <c r="B991" s="220">
        <v>43830</v>
      </c>
      <c r="C991" s="56" t="s">
        <v>5</v>
      </c>
      <c r="D991" s="56" t="s">
        <v>9</v>
      </c>
      <c r="E991" s="56">
        <v>2019</v>
      </c>
      <c r="F991" s="56">
        <v>999.48</v>
      </c>
      <c r="G991" t="s">
        <v>232</v>
      </c>
      <c r="H991">
        <v>1301.28</v>
      </c>
    </row>
    <row r="992" spans="1:8">
      <c r="A992" s="220">
        <v>43466</v>
      </c>
      <c r="B992" s="220">
        <v>43830</v>
      </c>
      <c r="C992" s="56" t="s">
        <v>5</v>
      </c>
      <c r="D992" s="56" t="s">
        <v>9</v>
      </c>
      <c r="E992" s="56">
        <v>2019</v>
      </c>
      <c r="F992" s="56">
        <v>1216.05</v>
      </c>
      <c r="G992" t="s">
        <v>232</v>
      </c>
      <c r="H992">
        <v>1583.24</v>
      </c>
    </row>
    <row r="993" spans="1:8">
      <c r="A993" s="220">
        <v>43466</v>
      </c>
      <c r="B993" s="220">
        <v>43830</v>
      </c>
      <c r="C993" s="56" t="s">
        <v>5</v>
      </c>
      <c r="D993" s="56" t="s">
        <v>9</v>
      </c>
      <c r="E993" s="56">
        <v>2019</v>
      </c>
      <c r="F993" s="56">
        <v>654.84</v>
      </c>
      <c r="G993" t="s">
        <v>232</v>
      </c>
      <c r="H993">
        <v>852.57</v>
      </c>
    </row>
    <row r="994" spans="1:8">
      <c r="A994" s="220">
        <v>43831</v>
      </c>
      <c r="B994" s="220">
        <v>44196</v>
      </c>
      <c r="C994" s="56" t="s">
        <v>5</v>
      </c>
      <c r="D994" s="56" t="s">
        <v>9</v>
      </c>
      <c r="E994" s="56">
        <v>2020</v>
      </c>
      <c r="F994" s="56">
        <v>460.24</v>
      </c>
      <c r="G994" t="s">
        <v>232</v>
      </c>
      <c r="H994">
        <v>640.44000000000005</v>
      </c>
    </row>
    <row r="995" spans="1:8">
      <c r="A995" s="220">
        <v>43466</v>
      </c>
      <c r="B995" s="220">
        <v>43830</v>
      </c>
      <c r="C995" s="56" t="s">
        <v>5</v>
      </c>
      <c r="D995" s="56" t="s">
        <v>9</v>
      </c>
      <c r="E995" s="56">
        <v>2019</v>
      </c>
      <c r="F995" s="56">
        <v>896.35</v>
      </c>
      <c r="G995" t="s">
        <v>232</v>
      </c>
      <c r="H995">
        <v>1167</v>
      </c>
    </row>
    <row r="996" spans="1:8">
      <c r="A996" s="220">
        <v>43831</v>
      </c>
      <c r="B996" s="220">
        <v>44196</v>
      </c>
      <c r="C996" s="56" t="s">
        <v>5</v>
      </c>
      <c r="D996" s="56" t="s">
        <v>9</v>
      </c>
      <c r="E996" s="56">
        <v>2020</v>
      </c>
      <c r="F996" s="56">
        <v>2958.76</v>
      </c>
      <c r="G996" t="s">
        <v>232</v>
      </c>
      <c r="H996">
        <v>4117.1899999999996</v>
      </c>
    </row>
    <row r="997" spans="1:8">
      <c r="A997" s="220">
        <v>43831</v>
      </c>
      <c r="B997" s="220">
        <v>44196</v>
      </c>
      <c r="C997" s="56" t="s">
        <v>5</v>
      </c>
      <c r="D997" s="56" t="s">
        <v>9</v>
      </c>
      <c r="E997" s="56">
        <v>2020</v>
      </c>
      <c r="F997" s="56">
        <v>757.67</v>
      </c>
      <c r="G997" t="s">
        <v>232</v>
      </c>
      <c r="H997">
        <v>1054.32</v>
      </c>
    </row>
    <row r="998" spans="1:8">
      <c r="A998" s="220">
        <v>43831</v>
      </c>
      <c r="B998" s="220">
        <v>44196</v>
      </c>
      <c r="C998" s="56" t="s">
        <v>5</v>
      </c>
      <c r="D998" s="56" t="s">
        <v>9</v>
      </c>
      <c r="E998" s="56">
        <v>2020</v>
      </c>
      <c r="F998" s="56">
        <v>1113.92</v>
      </c>
      <c r="G998" t="s">
        <v>232</v>
      </c>
      <c r="H998">
        <v>1550.04</v>
      </c>
    </row>
    <row r="999" spans="1:8">
      <c r="A999" s="220">
        <v>43831</v>
      </c>
      <c r="B999" s="220">
        <v>44196</v>
      </c>
      <c r="C999" s="56" t="s">
        <v>5</v>
      </c>
      <c r="D999" s="56" t="s">
        <v>9</v>
      </c>
      <c r="E999" s="56">
        <v>2020</v>
      </c>
      <c r="F999" s="56">
        <v>2422.04</v>
      </c>
      <c r="G999" t="s">
        <v>232</v>
      </c>
      <c r="H999">
        <v>3370.32</v>
      </c>
    </row>
    <row r="1000" spans="1:8">
      <c r="A1000" s="220">
        <v>43831</v>
      </c>
      <c r="B1000" s="220">
        <v>44196</v>
      </c>
      <c r="C1000" s="56" t="s">
        <v>5</v>
      </c>
      <c r="D1000" s="56" t="s">
        <v>9</v>
      </c>
      <c r="E1000" s="56">
        <v>2020</v>
      </c>
      <c r="F1000" s="56">
        <v>1394.79</v>
      </c>
      <c r="G1000" t="s">
        <v>232</v>
      </c>
      <c r="H1000">
        <v>1940.88</v>
      </c>
    </row>
    <row r="1001" spans="1:8">
      <c r="A1001" s="220">
        <v>43831</v>
      </c>
      <c r="B1001" s="220">
        <v>44196</v>
      </c>
      <c r="C1001" s="56" t="s">
        <v>5</v>
      </c>
      <c r="D1001" s="56" t="s">
        <v>9</v>
      </c>
      <c r="E1001" s="56">
        <v>2020</v>
      </c>
      <c r="F1001" s="56">
        <v>151.22</v>
      </c>
      <c r="G1001" t="s">
        <v>232</v>
      </c>
      <c r="H1001">
        <v>210.43</v>
      </c>
    </row>
    <row r="1002" spans="1:8">
      <c r="A1002" s="220">
        <v>43466</v>
      </c>
      <c r="B1002" s="220">
        <v>43830</v>
      </c>
      <c r="C1002" s="56" t="s">
        <v>5</v>
      </c>
      <c r="D1002" s="56" t="s">
        <v>9</v>
      </c>
      <c r="E1002" s="56">
        <v>2019</v>
      </c>
      <c r="F1002" s="56">
        <v>1631.39</v>
      </c>
      <c r="G1002" t="s">
        <v>232</v>
      </c>
      <c r="H1002">
        <v>2124</v>
      </c>
    </row>
    <row r="1003" spans="1:8">
      <c r="A1003" s="220">
        <v>43466</v>
      </c>
      <c r="B1003" s="220">
        <v>43830</v>
      </c>
      <c r="C1003" s="56" t="s">
        <v>5</v>
      </c>
      <c r="D1003" s="56" t="s">
        <v>9</v>
      </c>
      <c r="E1003" s="56">
        <v>2019</v>
      </c>
      <c r="F1003" s="56">
        <v>1682.64</v>
      </c>
      <c r="G1003" t="s">
        <v>232</v>
      </c>
      <c r="H1003">
        <v>2190.7199999999998</v>
      </c>
    </row>
    <row r="1004" spans="1:8">
      <c r="A1004" s="220">
        <v>43831</v>
      </c>
      <c r="B1004" s="220">
        <v>44196</v>
      </c>
      <c r="C1004" s="56" t="s">
        <v>5</v>
      </c>
      <c r="D1004" s="56" t="s">
        <v>9</v>
      </c>
      <c r="E1004" s="56">
        <v>2020</v>
      </c>
      <c r="F1004" s="56">
        <v>2399.87</v>
      </c>
      <c r="G1004" t="s">
        <v>232</v>
      </c>
      <c r="H1004">
        <v>3339.48</v>
      </c>
    </row>
    <row r="1005" spans="1:8">
      <c r="A1005" s="220">
        <v>43831</v>
      </c>
      <c r="B1005" s="220">
        <v>44196</v>
      </c>
      <c r="C1005" s="56" t="s">
        <v>5</v>
      </c>
      <c r="D1005" s="56" t="s">
        <v>9</v>
      </c>
      <c r="E1005" s="56">
        <v>2020</v>
      </c>
      <c r="F1005" s="56">
        <v>541.54</v>
      </c>
      <c r="G1005" t="s">
        <v>232</v>
      </c>
      <c r="H1005">
        <v>753.56</v>
      </c>
    </row>
    <row r="1006" spans="1:8">
      <c r="A1006" s="220">
        <v>43831</v>
      </c>
      <c r="B1006" s="220">
        <v>44196</v>
      </c>
      <c r="C1006" s="56" t="s">
        <v>5</v>
      </c>
      <c r="D1006" s="56" t="s">
        <v>9</v>
      </c>
      <c r="E1006" s="56">
        <v>2020</v>
      </c>
      <c r="F1006" s="56">
        <v>623.14</v>
      </c>
      <c r="G1006" t="s">
        <v>232</v>
      </c>
      <c r="H1006">
        <v>867.12</v>
      </c>
    </row>
    <row r="1007" spans="1:8">
      <c r="A1007" s="220">
        <v>43831</v>
      </c>
      <c r="B1007" s="220">
        <v>44196</v>
      </c>
      <c r="C1007" s="56" t="s">
        <v>5</v>
      </c>
      <c r="D1007" s="56" t="s">
        <v>9</v>
      </c>
      <c r="E1007" s="56">
        <v>2020</v>
      </c>
      <c r="F1007" s="56">
        <v>594.77</v>
      </c>
      <c r="G1007" t="s">
        <v>232</v>
      </c>
      <c r="H1007">
        <v>827.64</v>
      </c>
    </row>
    <row r="1008" spans="1:8">
      <c r="A1008" s="220">
        <v>43831</v>
      </c>
      <c r="B1008" s="220">
        <v>44196</v>
      </c>
      <c r="C1008" s="56" t="s">
        <v>5</v>
      </c>
      <c r="D1008" s="56" t="s">
        <v>9</v>
      </c>
      <c r="E1008" s="56">
        <v>2020</v>
      </c>
      <c r="F1008" s="56">
        <v>344.08</v>
      </c>
      <c r="G1008" t="s">
        <v>232</v>
      </c>
      <c r="H1008">
        <v>478.8</v>
      </c>
    </row>
    <row r="1009" spans="1:8">
      <c r="A1009" s="220">
        <v>43831</v>
      </c>
      <c r="B1009" s="220">
        <v>44196</v>
      </c>
      <c r="C1009" s="56" t="s">
        <v>5</v>
      </c>
      <c r="D1009" s="56" t="s">
        <v>9</v>
      </c>
      <c r="E1009" s="56">
        <v>2020</v>
      </c>
      <c r="F1009" s="56">
        <v>4148.78</v>
      </c>
      <c r="G1009" t="s">
        <v>232</v>
      </c>
      <c r="H1009">
        <v>5773.13</v>
      </c>
    </row>
    <row r="1010" spans="1:8">
      <c r="A1010" s="220">
        <v>43831</v>
      </c>
      <c r="B1010" s="220">
        <v>44196</v>
      </c>
      <c r="C1010" s="56" t="s">
        <v>5</v>
      </c>
      <c r="D1010" s="56" t="s">
        <v>9</v>
      </c>
      <c r="E1010" s="56">
        <v>2020</v>
      </c>
      <c r="F1010" s="56">
        <v>170.86</v>
      </c>
      <c r="G1010" t="s">
        <v>232</v>
      </c>
      <c r="H1010">
        <v>237.75</v>
      </c>
    </row>
    <row r="1011" spans="1:8">
      <c r="A1011" s="220">
        <v>43466</v>
      </c>
      <c r="B1011" s="220">
        <v>43830</v>
      </c>
      <c r="C1011" s="56" t="s">
        <v>5</v>
      </c>
      <c r="D1011" s="56" t="s">
        <v>9</v>
      </c>
      <c r="E1011" s="56">
        <v>2019</v>
      </c>
      <c r="F1011" s="56">
        <v>857.51</v>
      </c>
      <c r="G1011" t="s">
        <v>232</v>
      </c>
      <c r="H1011">
        <v>1116.44</v>
      </c>
    </row>
    <row r="1012" spans="1:8">
      <c r="A1012" s="220">
        <v>43466</v>
      </c>
      <c r="B1012" s="220">
        <v>43830</v>
      </c>
      <c r="C1012" s="56" t="s">
        <v>5</v>
      </c>
      <c r="D1012" s="56" t="s">
        <v>9</v>
      </c>
      <c r="E1012" s="56">
        <v>2019</v>
      </c>
      <c r="F1012" s="56">
        <v>1672.76</v>
      </c>
      <c r="G1012" t="s">
        <v>232</v>
      </c>
      <c r="H1012">
        <v>2177.86</v>
      </c>
    </row>
    <row r="1013" spans="1:8">
      <c r="A1013" s="220">
        <v>43831</v>
      </c>
      <c r="B1013" s="220">
        <v>44196</v>
      </c>
      <c r="C1013" s="56" t="s">
        <v>5</v>
      </c>
      <c r="D1013" s="56" t="s">
        <v>9</v>
      </c>
      <c r="E1013" s="56">
        <v>2020</v>
      </c>
      <c r="F1013" s="56">
        <v>1469.3</v>
      </c>
      <c r="G1013" t="s">
        <v>232</v>
      </c>
      <c r="H1013">
        <v>2044.56</v>
      </c>
    </row>
    <row r="1014" spans="1:8">
      <c r="A1014" s="220">
        <v>43831</v>
      </c>
      <c r="B1014" s="220">
        <v>44196</v>
      </c>
      <c r="C1014" s="56" t="s">
        <v>5</v>
      </c>
      <c r="D1014" s="56" t="s">
        <v>9</v>
      </c>
      <c r="E1014" s="56">
        <v>2020</v>
      </c>
      <c r="F1014" s="56">
        <v>977.92</v>
      </c>
      <c r="G1014" t="s">
        <v>232</v>
      </c>
      <c r="H1014">
        <v>1360.8</v>
      </c>
    </row>
    <row r="1015" spans="1:8">
      <c r="A1015" s="220">
        <v>43831</v>
      </c>
      <c r="B1015" s="220">
        <v>44196</v>
      </c>
      <c r="C1015" s="56" t="s">
        <v>5</v>
      </c>
      <c r="D1015" s="56" t="s">
        <v>9</v>
      </c>
      <c r="E1015" s="56">
        <v>2020</v>
      </c>
      <c r="F1015" s="56">
        <v>799.07</v>
      </c>
      <c r="G1015" t="s">
        <v>232</v>
      </c>
      <c r="H1015">
        <v>1111.92</v>
      </c>
    </row>
    <row r="1016" spans="1:8">
      <c r="A1016" s="220">
        <v>43831</v>
      </c>
      <c r="B1016" s="220">
        <v>44196</v>
      </c>
      <c r="C1016" s="56" t="s">
        <v>5</v>
      </c>
      <c r="D1016" s="56" t="s">
        <v>9</v>
      </c>
      <c r="E1016" s="56">
        <v>2020</v>
      </c>
      <c r="F1016" s="56">
        <v>2348.25</v>
      </c>
      <c r="G1016" t="s">
        <v>232</v>
      </c>
      <c r="H1016">
        <v>3267.64</v>
      </c>
    </row>
    <row r="1017" spans="1:8">
      <c r="A1017" s="220">
        <v>43831</v>
      </c>
      <c r="B1017" s="220">
        <v>44196</v>
      </c>
      <c r="C1017" s="56" t="s">
        <v>5</v>
      </c>
      <c r="D1017" s="56" t="s">
        <v>9</v>
      </c>
      <c r="E1017" s="56">
        <v>2020</v>
      </c>
      <c r="F1017" s="56">
        <v>962.57</v>
      </c>
      <c r="G1017" t="s">
        <v>232</v>
      </c>
      <c r="H1017">
        <v>1339.44</v>
      </c>
    </row>
    <row r="1018" spans="1:8">
      <c r="A1018" s="220">
        <v>43466</v>
      </c>
      <c r="B1018" s="220">
        <v>43830</v>
      </c>
      <c r="C1018" s="56" t="s">
        <v>5</v>
      </c>
      <c r="D1018" s="56" t="s">
        <v>9</v>
      </c>
      <c r="E1018" s="56">
        <v>2019</v>
      </c>
      <c r="F1018" s="56">
        <v>1798.27</v>
      </c>
      <c r="G1018" t="s">
        <v>232</v>
      </c>
      <c r="H1018">
        <v>2341.27</v>
      </c>
    </row>
    <row r="1019" spans="1:8">
      <c r="A1019" s="220">
        <v>43831</v>
      </c>
      <c r="B1019" s="220">
        <v>44196</v>
      </c>
      <c r="C1019" s="56" t="s">
        <v>5</v>
      </c>
      <c r="D1019" s="56" t="s">
        <v>9</v>
      </c>
      <c r="E1019" s="56">
        <v>2020</v>
      </c>
      <c r="F1019" s="56">
        <v>1306.6500000000001</v>
      </c>
      <c r="G1019" t="s">
        <v>232</v>
      </c>
      <c r="H1019">
        <v>1818.24</v>
      </c>
    </row>
    <row r="1020" spans="1:8">
      <c r="A1020" s="220">
        <v>43831</v>
      </c>
      <c r="B1020" s="220">
        <v>44196</v>
      </c>
      <c r="C1020" s="56" t="s">
        <v>5</v>
      </c>
      <c r="D1020" s="56" t="s">
        <v>9</v>
      </c>
      <c r="E1020" s="56">
        <v>2020</v>
      </c>
      <c r="F1020" s="56">
        <v>2985.94</v>
      </c>
      <c r="G1020" t="s">
        <v>232</v>
      </c>
      <c r="H1020">
        <v>4155</v>
      </c>
    </row>
    <row r="1021" spans="1:8">
      <c r="A1021" s="220">
        <v>43466</v>
      </c>
      <c r="B1021" s="220">
        <v>43830</v>
      </c>
      <c r="C1021" s="56" t="s">
        <v>5</v>
      </c>
      <c r="D1021" s="56" t="s">
        <v>9</v>
      </c>
      <c r="E1021" s="56">
        <v>2019</v>
      </c>
      <c r="F1021" s="56">
        <v>1172.8499999999999</v>
      </c>
      <c r="G1021" t="s">
        <v>232</v>
      </c>
      <c r="H1021">
        <v>1527</v>
      </c>
    </row>
    <row r="1022" spans="1:8">
      <c r="A1022" s="220">
        <v>43831</v>
      </c>
      <c r="B1022" s="220">
        <v>44196</v>
      </c>
      <c r="C1022" s="56" t="s">
        <v>5</v>
      </c>
      <c r="D1022" s="56" t="s">
        <v>9</v>
      </c>
      <c r="E1022" s="56">
        <v>2020</v>
      </c>
      <c r="F1022" s="56">
        <v>779.72</v>
      </c>
      <c r="G1022" t="s">
        <v>232</v>
      </c>
      <c r="H1022">
        <v>1085</v>
      </c>
    </row>
    <row r="1023" spans="1:8">
      <c r="A1023" s="220">
        <v>43466</v>
      </c>
      <c r="B1023" s="220">
        <v>43830</v>
      </c>
      <c r="C1023" s="56" t="s">
        <v>5</v>
      </c>
      <c r="D1023" s="56" t="s">
        <v>9</v>
      </c>
      <c r="E1023" s="56">
        <v>2019</v>
      </c>
      <c r="F1023" s="56">
        <v>797.72</v>
      </c>
      <c r="G1023" t="s">
        <v>232</v>
      </c>
      <c r="H1023">
        <v>1038.5999999999999</v>
      </c>
    </row>
    <row r="1024" spans="1:8">
      <c r="A1024" s="220">
        <v>43466</v>
      </c>
      <c r="B1024" s="220">
        <v>43830</v>
      </c>
      <c r="C1024" s="56" t="s">
        <v>5</v>
      </c>
      <c r="D1024" s="56" t="s">
        <v>9</v>
      </c>
      <c r="E1024" s="56">
        <v>2019</v>
      </c>
      <c r="F1024" s="56">
        <v>1333.5</v>
      </c>
      <c r="G1024" t="s">
        <v>232</v>
      </c>
      <c r="H1024">
        <v>1736.16</v>
      </c>
    </row>
    <row r="1025" spans="1:8">
      <c r="A1025" s="220">
        <v>43466</v>
      </c>
      <c r="B1025" s="220">
        <v>43830</v>
      </c>
      <c r="C1025" s="56" t="s">
        <v>5</v>
      </c>
      <c r="D1025" s="56" t="s">
        <v>9</v>
      </c>
      <c r="E1025" s="56">
        <v>2019</v>
      </c>
      <c r="F1025" s="56">
        <v>31.74</v>
      </c>
      <c r="G1025" t="s">
        <v>232</v>
      </c>
      <c r="H1025">
        <v>41.33</v>
      </c>
    </row>
    <row r="1026" spans="1:8">
      <c r="A1026" s="220">
        <v>43466</v>
      </c>
      <c r="B1026" s="220">
        <v>43830</v>
      </c>
      <c r="C1026" s="56" t="s">
        <v>5</v>
      </c>
      <c r="D1026" s="56" t="s">
        <v>9</v>
      </c>
      <c r="E1026" s="56">
        <v>2019</v>
      </c>
      <c r="F1026" s="56">
        <v>535.73</v>
      </c>
      <c r="G1026" t="s">
        <v>232</v>
      </c>
      <c r="H1026">
        <v>697.5</v>
      </c>
    </row>
    <row r="1027" spans="1:8">
      <c r="A1027" s="220">
        <v>43466</v>
      </c>
      <c r="B1027" s="220">
        <v>43830</v>
      </c>
      <c r="C1027" s="56" t="s">
        <v>5</v>
      </c>
      <c r="D1027" s="56" t="s">
        <v>9</v>
      </c>
      <c r="E1027" s="56">
        <v>2019</v>
      </c>
      <c r="F1027" s="56">
        <v>290.86</v>
      </c>
      <c r="G1027" t="s">
        <v>232</v>
      </c>
      <c r="H1027">
        <v>378.69</v>
      </c>
    </row>
    <row r="1028" spans="1:8">
      <c r="A1028" s="220">
        <v>43831</v>
      </c>
      <c r="B1028" s="220">
        <v>44196</v>
      </c>
      <c r="C1028" s="56" t="s">
        <v>5</v>
      </c>
      <c r="D1028" s="56" t="s">
        <v>9</v>
      </c>
      <c r="E1028" s="56">
        <v>2020</v>
      </c>
      <c r="F1028" s="56">
        <v>5021.57</v>
      </c>
      <c r="G1028" t="s">
        <v>232</v>
      </c>
      <c r="H1028">
        <v>6987.63</v>
      </c>
    </row>
    <row r="1029" spans="1:8">
      <c r="A1029" s="220">
        <v>43466</v>
      </c>
      <c r="B1029" s="220">
        <v>43830</v>
      </c>
      <c r="C1029" s="56" t="s">
        <v>5</v>
      </c>
      <c r="D1029" s="56" t="s">
        <v>9</v>
      </c>
      <c r="E1029" s="56">
        <v>2019</v>
      </c>
      <c r="F1029" s="56">
        <v>2799.36</v>
      </c>
      <c r="G1029" t="s">
        <v>232</v>
      </c>
      <c r="H1029">
        <v>3644.64</v>
      </c>
    </row>
    <row r="1030" spans="1:8">
      <c r="A1030" s="220">
        <v>43831</v>
      </c>
      <c r="B1030" s="220">
        <v>44196</v>
      </c>
      <c r="C1030" s="56" t="s">
        <v>5</v>
      </c>
      <c r="D1030" s="56" t="s">
        <v>9</v>
      </c>
      <c r="E1030" s="56">
        <v>2020</v>
      </c>
      <c r="F1030" s="56">
        <v>653.33000000000004</v>
      </c>
      <c r="G1030" t="s">
        <v>232</v>
      </c>
      <c r="H1030">
        <v>909.12</v>
      </c>
    </row>
    <row r="1031" spans="1:8">
      <c r="A1031" s="220">
        <v>43831</v>
      </c>
      <c r="B1031" s="220">
        <v>44196</v>
      </c>
      <c r="C1031" s="56" t="s">
        <v>5</v>
      </c>
      <c r="D1031" s="56" t="s">
        <v>9</v>
      </c>
      <c r="E1031" s="56">
        <v>2020</v>
      </c>
      <c r="F1031" s="56">
        <v>18.36</v>
      </c>
      <c r="G1031" t="s">
        <v>232</v>
      </c>
      <c r="H1031">
        <v>25.55</v>
      </c>
    </row>
    <row r="1032" spans="1:8">
      <c r="A1032" s="220">
        <v>43466</v>
      </c>
      <c r="B1032" s="220">
        <v>43830</v>
      </c>
      <c r="C1032" s="56" t="s">
        <v>5</v>
      </c>
      <c r="D1032" s="56" t="s">
        <v>9</v>
      </c>
      <c r="E1032" s="56">
        <v>2019</v>
      </c>
      <c r="F1032" s="56">
        <v>999.48</v>
      </c>
      <c r="G1032" t="s">
        <v>232</v>
      </c>
      <c r="H1032">
        <v>1301.28</v>
      </c>
    </row>
    <row r="1033" spans="1:8">
      <c r="A1033" s="220">
        <v>43831</v>
      </c>
      <c r="B1033" s="220">
        <v>44196</v>
      </c>
      <c r="C1033" s="56" t="s">
        <v>5</v>
      </c>
      <c r="D1033" s="56" t="s">
        <v>9</v>
      </c>
      <c r="E1033" s="56">
        <v>2020</v>
      </c>
      <c r="F1033" s="56">
        <v>482.9</v>
      </c>
      <c r="G1033" t="s">
        <v>232</v>
      </c>
      <c r="H1033">
        <v>671.96</v>
      </c>
    </row>
    <row r="1034" spans="1:8">
      <c r="A1034" s="220">
        <v>43466</v>
      </c>
      <c r="B1034" s="220">
        <v>43830</v>
      </c>
      <c r="C1034" s="56" t="s">
        <v>5</v>
      </c>
      <c r="D1034" s="56" t="s">
        <v>9</v>
      </c>
      <c r="E1034" s="56">
        <v>2019</v>
      </c>
      <c r="F1034" s="56">
        <v>8132.76</v>
      </c>
      <c r="G1034" t="s">
        <v>232</v>
      </c>
      <c r="H1034">
        <v>10588.48</v>
      </c>
    </row>
    <row r="1035" spans="1:8">
      <c r="A1035" s="220">
        <v>43831</v>
      </c>
      <c r="B1035" s="220">
        <v>44196</v>
      </c>
      <c r="C1035" s="56" t="s">
        <v>5</v>
      </c>
      <c r="D1035" s="56" t="s">
        <v>9</v>
      </c>
      <c r="E1035" s="56">
        <v>2020</v>
      </c>
      <c r="F1035" s="56">
        <v>3820.55</v>
      </c>
      <c r="G1035" t="s">
        <v>232</v>
      </c>
      <c r="H1035">
        <v>5316.39</v>
      </c>
    </row>
    <row r="1036" spans="1:8">
      <c r="A1036" s="220">
        <v>43831</v>
      </c>
      <c r="B1036" s="220">
        <v>44196</v>
      </c>
      <c r="C1036" s="56" t="s">
        <v>5</v>
      </c>
      <c r="D1036" s="56" t="s">
        <v>9</v>
      </c>
      <c r="E1036" s="56">
        <v>2020</v>
      </c>
      <c r="F1036" s="56">
        <v>734.65</v>
      </c>
      <c r="G1036" t="s">
        <v>232</v>
      </c>
      <c r="H1036">
        <v>1022.28</v>
      </c>
    </row>
    <row r="1037" spans="1:8">
      <c r="A1037" s="220">
        <v>43831</v>
      </c>
      <c r="B1037" s="220">
        <v>44196</v>
      </c>
      <c r="C1037" s="56" t="s">
        <v>5</v>
      </c>
      <c r="D1037" s="56" t="s">
        <v>9</v>
      </c>
      <c r="E1037" s="56">
        <v>2020</v>
      </c>
      <c r="F1037" s="56">
        <v>1637.72</v>
      </c>
      <c r="G1037" t="s">
        <v>232</v>
      </c>
      <c r="H1037">
        <v>2278.92</v>
      </c>
    </row>
    <row r="1038" spans="1:8">
      <c r="A1038" s="220">
        <v>43831</v>
      </c>
      <c r="B1038" s="220">
        <v>44196</v>
      </c>
      <c r="C1038" s="56" t="s">
        <v>5</v>
      </c>
      <c r="D1038" s="56" t="s">
        <v>9</v>
      </c>
      <c r="E1038" s="56">
        <v>2020</v>
      </c>
      <c r="F1038" s="56">
        <v>728.35</v>
      </c>
      <c r="G1038" t="s">
        <v>232</v>
      </c>
      <c r="H1038">
        <v>1013.52</v>
      </c>
    </row>
    <row r="1039" spans="1:8">
      <c r="A1039" s="220">
        <v>43831</v>
      </c>
      <c r="B1039" s="220">
        <v>44196</v>
      </c>
      <c r="C1039" s="56" t="s">
        <v>5</v>
      </c>
      <c r="D1039" s="56" t="s">
        <v>9</v>
      </c>
      <c r="E1039" s="56">
        <v>2020</v>
      </c>
      <c r="F1039" s="56">
        <v>653.33000000000004</v>
      </c>
      <c r="G1039" t="s">
        <v>232</v>
      </c>
      <c r="H1039">
        <v>909.12</v>
      </c>
    </row>
    <row r="1040" spans="1:8">
      <c r="A1040" s="220">
        <v>43466</v>
      </c>
      <c r="B1040" s="220">
        <v>43830</v>
      </c>
      <c r="C1040" s="56" t="s">
        <v>5</v>
      </c>
      <c r="D1040" s="56" t="s">
        <v>9</v>
      </c>
      <c r="E1040" s="56">
        <v>2019</v>
      </c>
      <c r="F1040" s="56">
        <v>294.89999999999998</v>
      </c>
      <c r="G1040" t="s">
        <v>232</v>
      </c>
      <c r="H1040">
        <v>383.94</v>
      </c>
    </row>
    <row r="1041" spans="1:8">
      <c r="A1041" s="220">
        <v>43831</v>
      </c>
      <c r="B1041" s="220">
        <v>44196</v>
      </c>
      <c r="C1041" s="56" t="s">
        <v>5</v>
      </c>
      <c r="D1041" s="56" t="s">
        <v>9</v>
      </c>
      <c r="E1041" s="56">
        <v>2020</v>
      </c>
      <c r="F1041" s="56">
        <v>2022.07</v>
      </c>
      <c r="G1041" t="s">
        <v>232</v>
      </c>
      <c r="H1041">
        <v>2813.76</v>
      </c>
    </row>
    <row r="1042" spans="1:8">
      <c r="A1042" s="220">
        <v>43466</v>
      </c>
      <c r="B1042" s="220">
        <v>43830</v>
      </c>
      <c r="C1042" s="56" t="s">
        <v>5</v>
      </c>
      <c r="D1042" s="56" t="s">
        <v>9</v>
      </c>
      <c r="E1042" s="56">
        <v>2019</v>
      </c>
      <c r="F1042" s="56">
        <v>255.62</v>
      </c>
      <c r="G1042" t="s">
        <v>232</v>
      </c>
      <c r="H1042">
        <v>332.8</v>
      </c>
    </row>
    <row r="1043" spans="1:8">
      <c r="A1043" s="220">
        <v>43466</v>
      </c>
      <c r="B1043" s="220">
        <v>43830</v>
      </c>
      <c r="C1043" s="56" t="s">
        <v>5</v>
      </c>
      <c r="D1043" s="56" t="s">
        <v>9</v>
      </c>
      <c r="E1043" s="56">
        <v>2019</v>
      </c>
      <c r="F1043" s="56">
        <v>506.75</v>
      </c>
      <c r="G1043" t="s">
        <v>232</v>
      </c>
      <c r="H1043">
        <v>659.76</v>
      </c>
    </row>
    <row r="1044" spans="1:8">
      <c r="A1044" s="220">
        <v>43831</v>
      </c>
      <c r="B1044" s="220">
        <v>44196</v>
      </c>
      <c r="C1044" s="56" t="s">
        <v>5</v>
      </c>
      <c r="D1044" s="56" t="s">
        <v>9</v>
      </c>
      <c r="E1044" s="56">
        <v>2020</v>
      </c>
      <c r="F1044" s="56">
        <v>807.35</v>
      </c>
      <c r="G1044" t="s">
        <v>232</v>
      </c>
      <c r="H1044">
        <v>1123.44</v>
      </c>
    </row>
    <row r="1045" spans="1:8">
      <c r="A1045" s="220">
        <v>43466</v>
      </c>
      <c r="B1045" s="220">
        <v>43830</v>
      </c>
      <c r="C1045" s="56" t="s">
        <v>5</v>
      </c>
      <c r="D1045" s="56" t="s">
        <v>9</v>
      </c>
      <c r="E1045" s="56">
        <v>2019</v>
      </c>
      <c r="F1045" s="56">
        <v>435.13</v>
      </c>
      <c r="G1045" t="s">
        <v>232</v>
      </c>
      <c r="H1045">
        <v>566.52</v>
      </c>
    </row>
    <row r="1046" spans="1:8">
      <c r="A1046" s="220">
        <v>43466</v>
      </c>
      <c r="B1046" s="220">
        <v>43830</v>
      </c>
      <c r="C1046" s="56" t="s">
        <v>5</v>
      </c>
      <c r="D1046" s="56" t="s">
        <v>9</v>
      </c>
      <c r="E1046" s="56">
        <v>2019</v>
      </c>
      <c r="F1046" s="56">
        <v>3159.47</v>
      </c>
      <c r="G1046" t="s">
        <v>232</v>
      </c>
      <c r="H1046">
        <v>4113.49</v>
      </c>
    </row>
    <row r="1047" spans="1:8">
      <c r="A1047" s="220">
        <v>43466</v>
      </c>
      <c r="B1047" s="220">
        <v>43830</v>
      </c>
      <c r="C1047" s="56" t="s">
        <v>5</v>
      </c>
      <c r="D1047" s="56" t="s">
        <v>9</v>
      </c>
      <c r="E1047" s="56">
        <v>2019</v>
      </c>
      <c r="F1047" s="56">
        <v>626.29</v>
      </c>
      <c r="G1047" t="s">
        <v>232</v>
      </c>
      <c r="H1047">
        <v>815.4</v>
      </c>
    </row>
    <row r="1048" spans="1:8">
      <c r="A1048" s="220">
        <v>43466</v>
      </c>
      <c r="B1048" s="220">
        <v>43830</v>
      </c>
      <c r="C1048" s="56" t="s">
        <v>5</v>
      </c>
      <c r="D1048" s="56" t="s">
        <v>9</v>
      </c>
      <c r="E1048" s="56">
        <v>2019</v>
      </c>
      <c r="F1048" s="56">
        <v>328.03</v>
      </c>
      <c r="G1048" t="s">
        <v>232</v>
      </c>
      <c r="H1048">
        <v>427.08</v>
      </c>
    </row>
    <row r="1049" spans="1:8">
      <c r="A1049" s="220">
        <v>43831</v>
      </c>
      <c r="B1049" s="220">
        <v>44196</v>
      </c>
      <c r="C1049" s="56" t="s">
        <v>5</v>
      </c>
      <c r="D1049" s="56" t="s">
        <v>9</v>
      </c>
      <c r="E1049" s="56">
        <v>2020</v>
      </c>
      <c r="F1049" s="56">
        <v>472.14</v>
      </c>
      <c r="G1049" t="s">
        <v>232</v>
      </c>
      <c r="H1049">
        <v>657</v>
      </c>
    </row>
    <row r="1050" spans="1:8">
      <c r="A1050" s="220">
        <v>43466</v>
      </c>
      <c r="B1050" s="220">
        <v>43830</v>
      </c>
      <c r="C1050" s="56" t="s">
        <v>5</v>
      </c>
      <c r="D1050" s="56" t="s">
        <v>9</v>
      </c>
      <c r="E1050" s="56">
        <v>2019</v>
      </c>
      <c r="F1050" s="56">
        <v>2285.89</v>
      </c>
      <c r="G1050" t="s">
        <v>232</v>
      </c>
      <c r="H1050">
        <v>2976.12</v>
      </c>
    </row>
    <row r="1051" spans="1:8">
      <c r="A1051" s="220">
        <v>43466</v>
      </c>
      <c r="B1051" s="220">
        <v>43830</v>
      </c>
      <c r="C1051" s="56" t="s">
        <v>5</v>
      </c>
      <c r="D1051" s="56" t="s">
        <v>9</v>
      </c>
      <c r="E1051" s="56">
        <v>2019</v>
      </c>
      <c r="F1051" s="56">
        <v>908.23</v>
      </c>
      <c r="G1051" t="s">
        <v>232</v>
      </c>
      <c r="H1051">
        <v>1182.48</v>
      </c>
    </row>
    <row r="1052" spans="1:8">
      <c r="A1052" s="220">
        <v>43466</v>
      </c>
      <c r="B1052" s="220">
        <v>43830</v>
      </c>
      <c r="C1052" s="56" t="s">
        <v>5</v>
      </c>
      <c r="D1052" s="56" t="s">
        <v>9</v>
      </c>
      <c r="E1052" s="56">
        <v>2019</v>
      </c>
      <c r="F1052" s="56">
        <v>1172.8499999999999</v>
      </c>
      <c r="G1052" t="s">
        <v>232</v>
      </c>
      <c r="H1052">
        <v>1527</v>
      </c>
    </row>
    <row r="1053" spans="1:8">
      <c r="A1053" s="220">
        <v>43466</v>
      </c>
      <c r="B1053" s="220">
        <v>43830</v>
      </c>
      <c r="C1053" s="56" t="s">
        <v>5</v>
      </c>
      <c r="D1053" s="56" t="s">
        <v>9</v>
      </c>
      <c r="E1053" s="56">
        <v>2019</v>
      </c>
      <c r="F1053" s="56">
        <v>497.07</v>
      </c>
      <c r="G1053" t="s">
        <v>232</v>
      </c>
      <c r="H1053">
        <v>647.16</v>
      </c>
    </row>
    <row r="1054" spans="1:8">
      <c r="A1054" s="220">
        <v>43831</v>
      </c>
      <c r="B1054" s="220">
        <v>44196</v>
      </c>
      <c r="C1054" s="56" t="s">
        <v>5</v>
      </c>
      <c r="D1054" s="56" t="s">
        <v>9</v>
      </c>
      <c r="E1054" s="56">
        <v>2020</v>
      </c>
      <c r="F1054" s="56">
        <v>891.68</v>
      </c>
      <c r="G1054" t="s">
        <v>232</v>
      </c>
      <c r="H1054">
        <v>1240.79</v>
      </c>
    </row>
    <row r="1055" spans="1:8">
      <c r="A1055" s="220">
        <v>43831</v>
      </c>
      <c r="B1055" s="220">
        <v>44196</v>
      </c>
      <c r="C1055" s="56" t="s">
        <v>5</v>
      </c>
      <c r="D1055" s="56" t="s">
        <v>9</v>
      </c>
      <c r="E1055" s="56">
        <v>2020</v>
      </c>
      <c r="F1055" s="56">
        <v>1725.25</v>
      </c>
      <c r="G1055" t="s">
        <v>232</v>
      </c>
      <c r="H1055">
        <v>2400.7199999999998</v>
      </c>
    </row>
    <row r="1056" spans="1:8">
      <c r="A1056" s="220">
        <v>43831</v>
      </c>
      <c r="B1056" s="220">
        <v>44196</v>
      </c>
      <c r="C1056" s="56" t="s">
        <v>5</v>
      </c>
      <c r="D1056" s="56" t="s">
        <v>9</v>
      </c>
      <c r="E1056" s="56">
        <v>2020</v>
      </c>
      <c r="F1056" s="56">
        <v>82.35</v>
      </c>
      <c r="G1056" t="s">
        <v>232</v>
      </c>
      <c r="H1056">
        <v>114.59</v>
      </c>
    </row>
    <row r="1057" spans="1:8">
      <c r="A1057" s="220">
        <v>43831</v>
      </c>
      <c r="B1057" s="220">
        <v>44196</v>
      </c>
      <c r="C1057" s="56" t="s">
        <v>5</v>
      </c>
      <c r="D1057" s="56" t="s">
        <v>9</v>
      </c>
      <c r="E1057" s="56">
        <v>2020</v>
      </c>
      <c r="F1057" s="56">
        <v>1394.79</v>
      </c>
      <c r="G1057" t="s">
        <v>232</v>
      </c>
      <c r="H1057">
        <v>1940.88</v>
      </c>
    </row>
    <row r="1058" spans="1:8">
      <c r="A1058" s="220">
        <v>43831</v>
      </c>
      <c r="B1058" s="220">
        <v>44196</v>
      </c>
      <c r="C1058" s="56" t="s">
        <v>5</v>
      </c>
      <c r="D1058" s="56" t="s">
        <v>9</v>
      </c>
      <c r="E1058" s="56">
        <v>2020</v>
      </c>
      <c r="F1058" s="56">
        <v>751.72</v>
      </c>
      <c r="G1058" t="s">
        <v>232</v>
      </c>
      <c r="H1058">
        <v>1046.04</v>
      </c>
    </row>
    <row r="1059" spans="1:8">
      <c r="A1059" s="220">
        <v>43466</v>
      </c>
      <c r="B1059" s="220">
        <v>43830</v>
      </c>
      <c r="C1059" s="56" t="s">
        <v>5</v>
      </c>
      <c r="D1059" s="56" t="s">
        <v>9</v>
      </c>
      <c r="E1059" s="56">
        <v>2019</v>
      </c>
      <c r="F1059" s="56">
        <v>724.63</v>
      </c>
      <c r="G1059" t="s">
        <v>232</v>
      </c>
      <c r="H1059">
        <v>943.44</v>
      </c>
    </row>
    <row r="1060" spans="1:8">
      <c r="A1060" s="220">
        <v>43831</v>
      </c>
      <c r="B1060" s="220">
        <v>44196</v>
      </c>
      <c r="C1060" s="56" t="s">
        <v>5</v>
      </c>
      <c r="D1060" s="56" t="s">
        <v>9</v>
      </c>
      <c r="E1060" s="56">
        <v>2020</v>
      </c>
      <c r="F1060" s="56">
        <v>275.42</v>
      </c>
      <c r="G1060" t="s">
        <v>232</v>
      </c>
      <c r="H1060">
        <v>383.25</v>
      </c>
    </row>
    <row r="1061" spans="1:8">
      <c r="A1061" s="220">
        <v>43831</v>
      </c>
      <c r="B1061" s="220">
        <v>44196</v>
      </c>
      <c r="C1061" s="56" t="s">
        <v>5</v>
      </c>
      <c r="D1061" s="56" t="s">
        <v>9</v>
      </c>
      <c r="E1061" s="56">
        <v>2020</v>
      </c>
      <c r="F1061" s="56">
        <v>501.15</v>
      </c>
      <c r="G1061" t="s">
        <v>232</v>
      </c>
      <c r="H1061">
        <v>697.36</v>
      </c>
    </row>
    <row r="1062" spans="1:8">
      <c r="A1062" s="220">
        <v>43466</v>
      </c>
      <c r="B1062" s="220">
        <v>43830</v>
      </c>
      <c r="C1062" s="56" t="s">
        <v>5</v>
      </c>
      <c r="D1062" s="56" t="s">
        <v>9</v>
      </c>
      <c r="E1062" s="56">
        <v>2019</v>
      </c>
      <c r="F1062" s="56">
        <v>1096.01</v>
      </c>
      <c r="G1062" t="s">
        <v>232</v>
      </c>
      <c r="H1062">
        <v>1426.95</v>
      </c>
    </row>
    <row r="1063" spans="1:8">
      <c r="A1063" s="220">
        <v>43831</v>
      </c>
      <c r="B1063" s="220">
        <v>44196</v>
      </c>
      <c r="C1063" s="56" t="s">
        <v>5</v>
      </c>
      <c r="D1063" s="56" t="s">
        <v>9</v>
      </c>
      <c r="E1063" s="56">
        <v>2020</v>
      </c>
      <c r="F1063" s="56">
        <v>523.79</v>
      </c>
      <c r="G1063" t="s">
        <v>232</v>
      </c>
      <c r="H1063">
        <v>728.86</v>
      </c>
    </row>
    <row r="1064" spans="1:8">
      <c r="A1064" s="220">
        <v>43466</v>
      </c>
      <c r="B1064" s="220">
        <v>43830</v>
      </c>
      <c r="C1064" s="56" t="s">
        <v>5</v>
      </c>
      <c r="D1064" s="56" t="s">
        <v>9</v>
      </c>
      <c r="E1064" s="56">
        <v>2019</v>
      </c>
      <c r="F1064" s="56">
        <v>797.72</v>
      </c>
      <c r="G1064" t="s">
        <v>232</v>
      </c>
      <c r="H1064">
        <v>1038.5999999999999</v>
      </c>
    </row>
    <row r="1065" spans="1:8">
      <c r="A1065" s="220">
        <v>43466</v>
      </c>
      <c r="B1065" s="220">
        <v>43830</v>
      </c>
      <c r="C1065" s="56" t="s">
        <v>5</v>
      </c>
      <c r="D1065" s="56" t="s">
        <v>9</v>
      </c>
      <c r="E1065" s="56">
        <v>2019</v>
      </c>
      <c r="F1065" s="56">
        <v>149.43</v>
      </c>
      <c r="G1065" t="s">
        <v>232</v>
      </c>
      <c r="H1065">
        <v>194.55</v>
      </c>
    </row>
    <row r="1066" spans="1:8">
      <c r="A1066" s="220">
        <v>43466</v>
      </c>
      <c r="B1066" s="220">
        <v>43830</v>
      </c>
      <c r="C1066" s="56" t="s">
        <v>5</v>
      </c>
      <c r="D1066" s="56" t="s">
        <v>9</v>
      </c>
      <c r="E1066" s="56">
        <v>2019</v>
      </c>
      <c r="F1066" s="56">
        <v>871.55</v>
      </c>
      <c r="G1066" t="s">
        <v>232</v>
      </c>
      <c r="H1066">
        <v>1134.72</v>
      </c>
    </row>
    <row r="1067" spans="1:8">
      <c r="A1067" s="220">
        <v>43831</v>
      </c>
      <c r="B1067" s="220">
        <v>44196</v>
      </c>
      <c r="C1067" s="56" t="s">
        <v>5</v>
      </c>
      <c r="D1067" s="56" t="s">
        <v>9</v>
      </c>
      <c r="E1067" s="56">
        <v>2020</v>
      </c>
      <c r="F1067" s="56">
        <v>1113.92</v>
      </c>
      <c r="G1067" t="s">
        <v>232</v>
      </c>
      <c r="H1067">
        <v>1550.04</v>
      </c>
    </row>
    <row r="1068" spans="1:8">
      <c r="A1068" s="220">
        <v>43831</v>
      </c>
      <c r="B1068" s="220">
        <v>44196</v>
      </c>
      <c r="C1068" s="56" t="s">
        <v>5</v>
      </c>
      <c r="D1068" s="56" t="s">
        <v>9</v>
      </c>
      <c r="E1068" s="56">
        <v>2020</v>
      </c>
      <c r="F1068" s="56">
        <v>827.7</v>
      </c>
      <c r="G1068" t="s">
        <v>232</v>
      </c>
      <c r="H1068">
        <v>1151.76</v>
      </c>
    </row>
    <row r="1069" spans="1:8">
      <c r="A1069" s="220">
        <v>43466</v>
      </c>
      <c r="B1069" s="220">
        <v>43830</v>
      </c>
      <c r="C1069" s="56" t="s">
        <v>5</v>
      </c>
      <c r="D1069" s="56" t="s">
        <v>9</v>
      </c>
      <c r="E1069" s="56">
        <v>2019</v>
      </c>
      <c r="F1069" s="56">
        <v>605.87</v>
      </c>
      <c r="G1069" t="s">
        <v>232</v>
      </c>
      <c r="H1069">
        <v>788.82</v>
      </c>
    </row>
    <row r="1070" spans="1:8">
      <c r="A1070" s="220">
        <v>43466</v>
      </c>
      <c r="B1070" s="220">
        <v>43830</v>
      </c>
      <c r="C1070" s="56" t="s">
        <v>5</v>
      </c>
      <c r="D1070" s="56" t="s">
        <v>9</v>
      </c>
      <c r="E1070" s="56">
        <v>2019</v>
      </c>
      <c r="F1070" s="56">
        <v>383.42</v>
      </c>
      <c r="G1070" t="s">
        <v>232</v>
      </c>
      <c r="H1070">
        <v>499.2</v>
      </c>
    </row>
    <row r="1071" spans="1:8">
      <c r="A1071" s="220">
        <v>43466</v>
      </c>
      <c r="B1071" s="220">
        <v>43830</v>
      </c>
      <c r="C1071" s="56" t="s">
        <v>5</v>
      </c>
      <c r="D1071" s="56" t="s">
        <v>9</v>
      </c>
      <c r="E1071" s="56">
        <v>2019</v>
      </c>
      <c r="F1071" s="56">
        <v>543.79999999999995</v>
      </c>
      <c r="G1071" t="s">
        <v>232</v>
      </c>
      <c r="H1071">
        <v>708</v>
      </c>
    </row>
    <row r="1072" spans="1:8">
      <c r="A1072" s="220">
        <v>43831</v>
      </c>
      <c r="B1072" s="220">
        <v>44196</v>
      </c>
      <c r="C1072" s="56" t="s">
        <v>5</v>
      </c>
      <c r="D1072" s="56" t="s">
        <v>9</v>
      </c>
      <c r="E1072" s="56">
        <v>2020</v>
      </c>
      <c r="F1072" s="56">
        <v>1804.53</v>
      </c>
      <c r="G1072" t="s">
        <v>232</v>
      </c>
      <c r="H1072">
        <v>2511.04</v>
      </c>
    </row>
    <row r="1073" spans="1:8">
      <c r="A1073" s="220">
        <v>43831</v>
      </c>
      <c r="B1073" s="220">
        <v>44196</v>
      </c>
      <c r="C1073" s="56" t="s">
        <v>5</v>
      </c>
      <c r="D1073" s="56" t="s">
        <v>9</v>
      </c>
      <c r="E1073" s="56">
        <v>2020</v>
      </c>
      <c r="F1073" s="56">
        <v>3742.62</v>
      </c>
      <c r="G1073" t="s">
        <v>232</v>
      </c>
      <c r="H1073">
        <v>5207.9399999999996</v>
      </c>
    </row>
    <row r="1074" spans="1:8">
      <c r="A1074" s="220">
        <v>43466</v>
      </c>
      <c r="B1074" s="220">
        <v>43830</v>
      </c>
      <c r="C1074" s="56" t="s">
        <v>5</v>
      </c>
      <c r="D1074" s="56" t="s">
        <v>9</v>
      </c>
      <c r="E1074" s="56">
        <v>2019</v>
      </c>
      <c r="F1074" s="56">
        <v>334.02</v>
      </c>
      <c r="G1074" t="s">
        <v>232</v>
      </c>
      <c r="H1074">
        <v>434.88</v>
      </c>
    </row>
    <row r="1075" spans="1:8">
      <c r="A1075" s="220">
        <v>43466</v>
      </c>
      <c r="B1075" s="220">
        <v>43830</v>
      </c>
      <c r="C1075" s="56" t="s">
        <v>5</v>
      </c>
      <c r="D1075" s="56" t="s">
        <v>9</v>
      </c>
      <c r="E1075" s="56">
        <v>2019</v>
      </c>
      <c r="F1075" s="56">
        <v>1449.27</v>
      </c>
      <c r="G1075" t="s">
        <v>232</v>
      </c>
      <c r="H1075">
        <v>1886.88</v>
      </c>
    </row>
    <row r="1076" spans="1:8">
      <c r="A1076" s="220">
        <v>43831</v>
      </c>
      <c r="B1076" s="220">
        <v>44196</v>
      </c>
      <c r="C1076" s="56" t="s">
        <v>5</v>
      </c>
      <c r="D1076" s="56" t="s">
        <v>9</v>
      </c>
      <c r="E1076" s="56">
        <v>2020</v>
      </c>
      <c r="F1076" s="56">
        <v>459.73</v>
      </c>
      <c r="G1076" t="s">
        <v>232</v>
      </c>
      <c r="H1076">
        <v>639.72</v>
      </c>
    </row>
    <row r="1077" spans="1:8">
      <c r="A1077" s="220">
        <v>43466</v>
      </c>
      <c r="B1077" s="220">
        <v>43830</v>
      </c>
      <c r="C1077" s="56" t="s">
        <v>5</v>
      </c>
      <c r="D1077" s="56" t="s">
        <v>9</v>
      </c>
      <c r="E1077" s="56">
        <v>2019</v>
      </c>
      <c r="F1077" s="56">
        <v>1172.8499999999999</v>
      </c>
      <c r="G1077" t="s">
        <v>232</v>
      </c>
      <c r="H1077">
        <v>1527</v>
      </c>
    </row>
    <row r="1078" spans="1:8">
      <c r="A1078" s="220">
        <v>43831</v>
      </c>
      <c r="B1078" s="220">
        <v>44196</v>
      </c>
      <c r="C1078" s="56" t="s">
        <v>5</v>
      </c>
      <c r="D1078" s="56" t="s">
        <v>9</v>
      </c>
      <c r="E1078" s="56">
        <v>2020</v>
      </c>
      <c r="F1078" s="56">
        <v>1113.92</v>
      </c>
      <c r="G1078" t="s">
        <v>232</v>
      </c>
      <c r="H1078">
        <v>1550.04</v>
      </c>
    </row>
    <row r="1079" spans="1:8">
      <c r="A1079" s="220">
        <v>43831</v>
      </c>
      <c r="B1079" s="220">
        <v>44196</v>
      </c>
      <c r="C1079" s="56" t="s">
        <v>5</v>
      </c>
      <c r="D1079" s="56" t="s">
        <v>9</v>
      </c>
      <c r="E1079" s="56">
        <v>2020</v>
      </c>
      <c r="F1079" s="56">
        <v>807.35</v>
      </c>
      <c r="G1079" t="s">
        <v>232</v>
      </c>
      <c r="H1079">
        <v>1123.44</v>
      </c>
    </row>
    <row r="1080" spans="1:8">
      <c r="A1080" s="220">
        <v>43831</v>
      </c>
      <c r="B1080" s="220">
        <v>44196</v>
      </c>
      <c r="C1080" s="56" t="s">
        <v>5</v>
      </c>
      <c r="D1080" s="56" t="s">
        <v>9</v>
      </c>
      <c r="E1080" s="56">
        <v>2020</v>
      </c>
      <c r="F1080" s="56">
        <v>2245.85</v>
      </c>
      <c r="G1080" t="s">
        <v>232</v>
      </c>
      <c r="H1080">
        <v>3125.15</v>
      </c>
    </row>
    <row r="1081" spans="1:8">
      <c r="A1081" s="220">
        <v>43466</v>
      </c>
      <c r="B1081" s="220">
        <v>43830</v>
      </c>
      <c r="C1081" s="56" t="s">
        <v>5</v>
      </c>
      <c r="D1081" s="56" t="s">
        <v>9</v>
      </c>
      <c r="E1081" s="56">
        <v>2019</v>
      </c>
      <c r="F1081" s="56">
        <v>476.88</v>
      </c>
      <c r="G1081" t="s">
        <v>232</v>
      </c>
      <c r="H1081">
        <v>620.88</v>
      </c>
    </row>
    <row r="1082" spans="1:8">
      <c r="A1082" s="220">
        <v>43831</v>
      </c>
      <c r="B1082" s="220">
        <v>44196</v>
      </c>
      <c r="C1082" s="56" t="s">
        <v>5</v>
      </c>
      <c r="D1082" s="56" t="s">
        <v>9</v>
      </c>
      <c r="E1082" s="56">
        <v>2020</v>
      </c>
      <c r="F1082" s="56">
        <v>1464.43</v>
      </c>
      <c r="G1082" t="s">
        <v>232</v>
      </c>
      <c r="H1082">
        <v>2037.79</v>
      </c>
    </row>
    <row r="1083" spans="1:8">
      <c r="A1083" s="220">
        <v>43831</v>
      </c>
      <c r="B1083" s="220">
        <v>44196</v>
      </c>
      <c r="C1083" s="56" t="s">
        <v>5</v>
      </c>
      <c r="D1083" s="56" t="s">
        <v>9</v>
      </c>
      <c r="E1083" s="56">
        <v>2020</v>
      </c>
      <c r="F1083" s="56">
        <v>686.33</v>
      </c>
      <c r="G1083" t="s">
        <v>232</v>
      </c>
      <c r="H1083">
        <v>955.05</v>
      </c>
    </row>
    <row r="1084" spans="1:8">
      <c r="A1084" s="220">
        <v>43831</v>
      </c>
      <c r="B1084" s="220">
        <v>44196</v>
      </c>
      <c r="C1084" s="56" t="s">
        <v>5</v>
      </c>
      <c r="D1084" s="56" t="s">
        <v>9</v>
      </c>
      <c r="E1084" s="56">
        <v>2020</v>
      </c>
      <c r="F1084" s="56">
        <v>1637.72</v>
      </c>
      <c r="G1084" t="s">
        <v>232</v>
      </c>
      <c r="H1084">
        <v>2278.92</v>
      </c>
    </row>
    <row r="1085" spans="1:8">
      <c r="A1085" s="220">
        <v>43831</v>
      </c>
      <c r="B1085" s="220">
        <v>44196</v>
      </c>
      <c r="C1085" s="56" t="s">
        <v>5</v>
      </c>
      <c r="D1085" s="56" t="s">
        <v>9</v>
      </c>
      <c r="E1085" s="56">
        <v>2020</v>
      </c>
      <c r="F1085" s="56">
        <v>1491.39</v>
      </c>
      <c r="G1085" t="s">
        <v>232</v>
      </c>
      <c r="H1085">
        <v>2075.3000000000002</v>
      </c>
    </row>
    <row r="1086" spans="1:8">
      <c r="A1086" s="220">
        <v>43831</v>
      </c>
      <c r="B1086" s="220">
        <v>44196</v>
      </c>
      <c r="C1086" s="56" t="s">
        <v>5</v>
      </c>
      <c r="D1086" s="56" t="s">
        <v>9</v>
      </c>
      <c r="E1086" s="56">
        <v>2020</v>
      </c>
      <c r="F1086" s="56">
        <v>878.37</v>
      </c>
      <c r="G1086" t="s">
        <v>232</v>
      </c>
      <c r="H1086">
        <v>1222.27</v>
      </c>
    </row>
    <row r="1087" spans="1:8">
      <c r="A1087" s="220">
        <v>43466</v>
      </c>
      <c r="B1087" s="220">
        <v>43830</v>
      </c>
      <c r="C1087" s="56" t="s">
        <v>5</v>
      </c>
      <c r="D1087" s="56" t="s">
        <v>9</v>
      </c>
      <c r="E1087" s="56">
        <v>2019</v>
      </c>
      <c r="F1087" s="56">
        <v>543.79999999999995</v>
      </c>
      <c r="G1087" t="s">
        <v>232</v>
      </c>
      <c r="H1087">
        <v>708</v>
      </c>
    </row>
    <row r="1088" spans="1:8">
      <c r="A1088" s="220">
        <v>43831</v>
      </c>
      <c r="B1088" s="220">
        <v>44196</v>
      </c>
      <c r="C1088" s="56" t="s">
        <v>5</v>
      </c>
      <c r="D1088" s="56" t="s">
        <v>9</v>
      </c>
      <c r="E1088" s="56">
        <v>2020</v>
      </c>
      <c r="F1088" s="56">
        <v>451.06</v>
      </c>
      <c r="G1088" t="s">
        <v>232</v>
      </c>
      <c r="H1088">
        <v>627.66</v>
      </c>
    </row>
    <row r="1089" spans="1:8">
      <c r="A1089" s="220">
        <v>43831</v>
      </c>
      <c r="B1089" s="220">
        <v>44196</v>
      </c>
      <c r="C1089" s="56" t="s">
        <v>5</v>
      </c>
      <c r="D1089" s="56" t="s">
        <v>9</v>
      </c>
      <c r="E1089" s="56">
        <v>2020</v>
      </c>
      <c r="F1089" s="56">
        <v>623.14</v>
      </c>
      <c r="G1089" t="s">
        <v>232</v>
      </c>
      <c r="H1089">
        <v>867.12</v>
      </c>
    </row>
    <row r="1090" spans="1:8">
      <c r="A1090" s="220">
        <v>43466</v>
      </c>
      <c r="B1090" s="220">
        <v>43830</v>
      </c>
      <c r="C1090" s="56" t="s">
        <v>5</v>
      </c>
      <c r="D1090" s="56" t="s">
        <v>9</v>
      </c>
      <c r="E1090" s="56">
        <v>2019</v>
      </c>
      <c r="F1090" s="56">
        <v>469.72</v>
      </c>
      <c r="G1090" t="s">
        <v>232</v>
      </c>
      <c r="H1090">
        <v>611.54999999999995</v>
      </c>
    </row>
    <row r="1091" spans="1:8">
      <c r="A1091" s="220">
        <v>43466</v>
      </c>
      <c r="B1091" s="220">
        <v>43830</v>
      </c>
      <c r="C1091" s="56" t="s">
        <v>5</v>
      </c>
      <c r="D1091" s="56" t="s">
        <v>9</v>
      </c>
      <c r="E1091" s="56">
        <v>2019</v>
      </c>
      <c r="F1091" s="56">
        <v>724.63</v>
      </c>
      <c r="G1091" t="s">
        <v>232</v>
      </c>
      <c r="H1091">
        <v>943.44</v>
      </c>
    </row>
    <row r="1092" spans="1:8">
      <c r="A1092" s="220">
        <v>43466</v>
      </c>
      <c r="B1092" s="220">
        <v>43830</v>
      </c>
      <c r="C1092" s="56" t="s">
        <v>5</v>
      </c>
      <c r="D1092" s="56" t="s">
        <v>9</v>
      </c>
      <c r="E1092" s="56">
        <v>2019</v>
      </c>
      <c r="F1092" s="56">
        <v>1029.6199999999999</v>
      </c>
      <c r="G1092" t="s">
        <v>232</v>
      </c>
      <c r="H1092">
        <v>1340.52</v>
      </c>
    </row>
    <row r="1093" spans="1:8">
      <c r="A1093" s="220">
        <v>43466</v>
      </c>
      <c r="B1093" s="220">
        <v>43830</v>
      </c>
      <c r="C1093" s="56" t="s">
        <v>5</v>
      </c>
      <c r="D1093" s="56" t="s">
        <v>9</v>
      </c>
      <c r="E1093" s="56">
        <v>2019</v>
      </c>
      <c r="F1093" s="56">
        <v>628.78</v>
      </c>
      <c r="G1093" t="s">
        <v>232</v>
      </c>
      <c r="H1093">
        <v>818.64</v>
      </c>
    </row>
    <row r="1094" spans="1:8">
      <c r="A1094" s="220">
        <v>43466</v>
      </c>
      <c r="B1094" s="220">
        <v>43830</v>
      </c>
      <c r="C1094" s="56" t="s">
        <v>5</v>
      </c>
      <c r="D1094" s="56" t="s">
        <v>9</v>
      </c>
      <c r="E1094" s="56">
        <v>2019</v>
      </c>
      <c r="F1094" s="56">
        <v>2310.4</v>
      </c>
      <c r="G1094" t="s">
        <v>232</v>
      </c>
      <c r="H1094">
        <v>3008.04</v>
      </c>
    </row>
    <row r="1095" spans="1:8">
      <c r="A1095" s="220">
        <v>43831</v>
      </c>
      <c r="B1095" s="220">
        <v>44196</v>
      </c>
      <c r="C1095" s="56" t="s">
        <v>5</v>
      </c>
      <c r="D1095" s="56" t="s">
        <v>9</v>
      </c>
      <c r="E1095" s="56">
        <v>2020</v>
      </c>
      <c r="F1095" s="56">
        <v>501.15</v>
      </c>
      <c r="G1095" t="s">
        <v>232</v>
      </c>
      <c r="H1095">
        <v>697.36</v>
      </c>
    </row>
    <row r="1096" spans="1:8">
      <c r="A1096" s="220">
        <v>43466</v>
      </c>
      <c r="B1096" s="220">
        <v>43830</v>
      </c>
      <c r="C1096" s="56" t="s">
        <v>5</v>
      </c>
      <c r="D1096" s="56" t="s">
        <v>9</v>
      </c>
      <c r="E1096" s="56">
        <v>2019</v>
      </c>
      <c r="F1096" s="56">
        <v>1062.33</v>
      </c>
      <c r="G1096" t="s">
        <v>232</v>
      </c>
      <c r="H1096">
        <v>1383.1</v>
      </c>
    </row>
    <row r="1097" spans="1:8">
      <c r="A1097" s="220">
        <v>43831</v>
      </c>
      <c r="B1097" s="220">
        <v>44196</v>
      </c>
      <c r="C1097" s="56" t="s">
        <v>5</v>
      </c>
      <c r="D1097" s="56" t="s">
        <v>9</v>
      </c>
      <c r="E1097" s="56">
        <v>2020</v>
      </c>
      <c r="F1097" s="56">
        <v>376.31</v>
      </c>
      <c r="G1097" t="s">
        <v>232</v>
      </c>
      <c r="H1097">
        <v>523.65</v>
      </c>
    </row>
    <row r="1098" spans="1:8">
      <c r="A1098" s="220">
        <v>43831</v>
      </c>
      <c r="B1098" s="220">
        <v>44196</v>
      </c>
      <c r="C1098" s="56" t="s">
        <v>5</v>
      </c>
      <c r="D1098" s="56" t="s">
        <v>9</v>
      </c>
      <c r="E1098" s="56">
        <v>2020</v>
      </c>
      <c r="F1098" s="56">
        <v>862.62</v>
      </c>
      <c r="G1098" t="s">
        <v>232</v>
      </c>
      <c r="H1098">
        <v>1200.3599999999999</v>
      </c>
    </row>
    <row r="1099" spans="1:8">
      <c r="A1099" s="220">
        <v>43831</v>
      </c>
      <c r="B1099" s="220">
        <v>44196</v>
      </c>
      <c r="C1099" s="56" t="s">
        <v>5</v>
      </c>
      <c r="D1099" s="56" t="s">
        <v>9</v>
      </c>
      <c r="E1099" s="56">
        <v>2020</v>
      </c>
      <c r="F1099" s="56">
        <v>1429.3</v>
      </c>
      <c r="G1099" t="s">
        <v>232</v>
      </c>
      <c r="H1099">
        <v>1988.9</v>
      </c>
    </row>
    <row r="1100" spans="1:8">
      <c r="A1100" s="220">
        <v>43466</v>
      </c>
      <c r="B1100" s="220">
        <v>43830</v>
      </c>
      <c r="C1100" s="56" t="s">
        <v>5</v>
      </c>
      <c r="D1100" s="56" t="s">
        <v>9</v>
      </c>
      <c r="E1100" s="56">
        <v>2019</v>
      </c>
      <c r="F1100" s="56">
        <v>850.08</v>
      </c>
      <c r="G1100" t="s">
        <v>232</v>
      </c>
      <c r="H1100">
        <v>1106.76</v>
      </c>
    </row>
    <row r="1101" spans="1:8">
      <c r="A1101" s="220">
        <v>43466</v>
      </c>
      <c r="B1101" s="220">
        <v>43830</v>
      </c>
      <c r="C1101" s="56" t="s">
        <v>5</v>
      </c>
      <c r="D1101" s="56" t="s">
        <v>9</v>
      </c>
      <c r="E1101" s="56">
        <v>2019</v>
      </c>
      <c r="F1101" s="56">
        <v>724.63</v>
      </c>
      <c r="G1101" t="s">
        <v>232</v>
      </c>
      <c r="H1101">
        <v>943.44</v>
      </c>
    </row>
    <row r="1102" spans="1:8">
      <c r="A1102" s="220">
        <v>43466</v>
      </c>
      <c r="B1102" s="220">
        <v>43830</v>
      </c>
      <c r="C1102" s="56" t="s">
        <v>5</v>
      </c>
      <c r="D1102" s="56" t="s">
        <v>9</v>
      </c>
      <c r="E1102" s="56">
        <v>2019</v>
      </c>
      <c r="F1102" s="56">
        <v>1743.1</v>
      </c>
      <c r="G1102" t="s">
        <v>232</v>
      </c>
      <c r="H1102">
        <v>2269.44</v>
      </c>
    </row>
    <row r="1103" spans="1:8">
      <c r="A1103" s="220">
        <v>43831</v>
      </c>
      <c r="B1103" s="220">
        <v>44196</v>
      </c>
      <c r="C1103" s="56" t="s">
        <v>5</v>
      </c>
      <c r="D1103" s="56" t="s">
        <v>9</v>
      </c>
      <c r="E1103" s="56">
        <v>2020</v>
      </c>
      <c r="F1103" s="56">
        <v>508.79</v>
      </c>
      <c r="G1103" t="s">
        <v>232</v>
      </c>
      <c r="H1103">
        <v>708</v>
      </c>
    </row>
    <row r="1104" spans="1:8">
      <c r="A1104" s="220">
        <v>43831</v>
      </c>
      <c r="B1104" s="220">
        <v>44196</v>
      </c>
      <c r="C1104" s="56" t="s">
        <v>5</v>
      </c>
      <c r="D1104" s="56" t="s">
        <v>9</v>
      </c>
      <c r="E1104" s="56">
        <v>2020</v>
      </c>
      <c r="F1104" s="56">
        <v>734.65</v>
      </c>
      <c r="G1104" t="s">
        <v>232</v>
      </c>
      <c r="H1104">
        <v>1022.28</v>
      </c>
    </row>
    <row r="1105" spans="1:8">
      <c r="A1105" s="220">
        <v>43831</v>
      </c>
      <c r="B1105" s="220">
        <v>44196</v>
      </c>
      <c r="C1105" s="56" t="s">
        <v>5</v>
      </c>
      <c r="D1105" s="56" t="s">
        <v>9</v>
      </c>
      <c r="E1105" s="56">
        <v>2020</v>
      </c>
      <c r="F1105" s="56">
        <v>795.83</v>
      </c>
      <c r="G1105" t="s">
        <v>232</v>
      </c>
      <c r="H1105">
        <v>1107.4100000000001</v>
      </c>
    </row>
    <row r="1106" spans="1:8">
      <c r="A1106" s="220">
        <v>43831</v>
      </c>
      <c r="B1106" s="220">
        <v>44196</v>
      </c>
      <c r="C1106" s="56" t="s">
        <v>5</v>
      </c>
      <c r="D1106" s="56" t="s">
        <v>9</v>
      </c>
      <c r="E1106" s="56">
        <v>2020</v>
      </c>
      <c r="F1106" s="56">
        <v>862.62</v>
      </c>
      <c r="G1106" t="s">
        <v>232</v>
      </c>
      <c r="H1106">
        <v>1200.3599999999999</v>
      </c>
    </row>
    <row r="1107" spans="1:8">
      <c r="A1107" s="220">
        <v>43466</v>
      </c>
      <c r="B1107" s="220">
        <v>43830</v>
      </c>
      <c r="C1107" s="56" t="s">
        <v>5</v>
      </c>
      <c r="D1107" s="56" t="s">
        <v>9</v>
      </c>
      <c r="E1107" s="56">
        <v>2019</v>
      </c>
      <c r="F1107" s="56">
        <v>1029.6199999999999</v>
      </c>
      <c r="G1107" t="s">
        <v>232</v>
      </c>
      <c r="H1107">
        <v>1340.52</v>
      </c>
    </row>
    <row r="1108" spans="1:8">
      <c r="A1108" s="220">
        <v>43466</v>
      </c>
      <c r="B1108" s="220">
        <v>43830</v>
      </c>
      <c r="C1108" s="56" t="s">
        <v>5</v>
      </c>
      <c r="D1108" s="56" t="s">
        <v>9</v>
      </c>
      <c r="E1108" s="56">
        <v>2019</v>
      </c>
      <c r="F1108" s="56">
        <v>2093.9499999999998</v>
      </c>
      <c r="G1108" t="s">
        <v>232</v>
      </c>
      <c r="H1108">
        <v>2726.23</v>
      </c>
    </row>
    <row r="1109" spans="1:8">
      <c r="A1109" s="220">
        <v>43831</v>
      </c>
      <c r="B1109" s="220">
        <v>44196</v>
      </c>
      <c r="C1109" s="56" t="s">
        <v>5</v>
      </c>
      <c r="D1109" s="56" t="s">
        <v>9</v>
      </c>
      <c r="E1109" s="56">
        <v>2020</v>
      </c>
      <c r="F1109" s="56">
        <v>3314.99</v>
      </c>
      <c r="G1109" t="s">
        <v>232</v>
      </c>
      <c r="H1109">
        <v>4612.8900000000003</v>
      </c>
    </row>
    <row r="1110" spans="1:8">
      <c r="A1110" s="220">
        <v>43466</v>
      </c>
      <c r="B1110" s="220">
        <v>43830</v>
      </c>
      <c r="C1110" s="56" t="s">
        <v>5</v>
      </c>
      <c r="D1110" s="56" t="s">
        <v>9</v>
      </c>
      <c r="E1110" s="56">
        <v>2019</v>
      </c>
      <c r="F1110" s="56">
        <v>190.49</v>
      </c>
      <c r="G1110" t="s">
        <v>232</v>
      </c>
      <c r="H1110">
        <v>248.01</v>
      </c>
    </row>
    <row r="1111" spans="1:8">
      <c r="A1111" s="220">
        <v>43831</v>
      </c>
      <c r="B1111" s="220">
        <v>44196</v>
      </c>
      <c r="C1111" s="56" t="s">
        <v>5</v>
      </c>
      <c r="D1111" s="56" t="s">
        <v>9</v>
      </c>
      <c r="E1111" s="56">
        <v>2020</v>
      </c>
      <c r="F1111" s="56">
        <v>2180.83</v>
      </c>
      <c r="G1111" t="s">
        <v>232</v>
      </c>
      <c r="H1111">
        <v>3034.68</v>
      </c>
    </row>
    <row r="1112" spans="1:8">
      <c r="A1112" s="220">
        <v>43466</v>
      </c>
      <c r="B1112" s="220">
        <v>43830</v>
      </c>
      <c r="C1112" s="56" t="s">
        <v>5</v>
      </c>
      <c r="D1112" s="56" t="s">
        <v>9</v>
      </c>
      <c r="E1112" s="56">
        <v>2019</v>
      </c>
      <c r="F1112" s="56">
        <v>2345.6999999999998</v>
      </c>
      <c r="G1112" t="s">
        <v>232</v>
      </c>
      <c r="H1112">
        <v>3054</v>
      </c>
    </row>
    <row r="1113" spans="1:8">
      <c r="A1113" s="220">
        <v>43466</v>
      </c>
      <c r="B1113" s="220">
        <v>43830</v>
      </c>
      <c r="C1113" s="56" t="s">
        <v>5</v>
      </c>
      <c r="D1113" s="56" t="s">
        <v>9</v>
      </c>
      <c r="E1113" s="56">
        <v>2019</v>
      </c>
      <c r="F1113" s="56">
        <v>1998.96</v>
      </c>
      <c r="G1113" t="s">
        <v>232</v>
      </c>
      <c r="H1113">
        <v>2602.56</v>
      </c>
    </row>
    <row r="1114" spans="1:8">
      <c r="A1114" s="220">
        <v>43466</v>
      </c>
      <c r="B1114" s="220">
        <v>43830</v>
      </c>
      <c r="C1114" s="56" t="s">
        <v>5</v>
      </c>
      <c r="D1114" s="56" t="s">
        <v>9</v>
      </c>
      <c r="E1114" s="56">
        <v>2019</v>
      </c>
      <c r="F1114" s="56">
        <v>1583.1</v>
      </c>
      <c r="G1114" t="s">
        <v>232</v>
      </c>
      <c r="H1114">
        <v>2061.12</v>
      </c>
    </row>
    <row r="1115" spans="1:8">
      <c r="A1115" s="220">
        <v>43831</v>
      </c>
      <c r="B1115" s="220">
        <v>44196</v>
      </c>
      <c r="C1115" s="56" t="s">
        <v>5</v>
      </c>
      <c r="D1115" s="56" t="s">
        <v>9</v>
      </c>
      <c r="E1115" s="56">
        <v>2020</v>
      </c>
      <c r="F1115" s="56">
        <v>827.7</v>
      </c>
      <c r="G1115" t="s">
        <v>232</v>
      </c>
      <c r="H1115">
        <v>1151.76</v>
      </c>
    </row>
    <row r="1116" spans="1:8">
      <c r="A1116" s="220">
        <v>43466</v>
      </c>
      <c r="B1116" s="220">
        <v>43830</v>
      </c>
      <c r="C1116" s="56" t="s">
        <v>5</v>
      </c>
      <c r="D1116" s="56" t="s">
        <v>9</v>
      </c>
      <c r="E1116" s="56">
        <v>2019</v>
      </c>
      <c r="F1116" s="56">
        <v>167.43</v>
      </c>
      <c r="G1116" t="s">
        <v>232</v>
      </c>
      <c r="H1116">
        <v>217.98</v>
      </c>
    </row>
    <row r="1117" spans="1:8">
      <c r="A1117" s="220">
        <v>43831</v>
      </c>
      <c r="B1117" s="220">
        <v>44196</v>
      </c>
      <c r="C1117" s="56" t="s">
        <v>5</v>
      </c>
      <c r="D1117" s="56" t="s">
        <v>9</v>
      </c>
      <c r="E1117" s="56">
        <v>2020</v>
      </c>
      <c r="F1117" s="56">
        <v>799.07</v>
      </c>
      <c r="G1117" t="s">
        <v>232</v>
      </c>
      <c r="H1117">
        <v>1111.92</v>
      </c>
    </row>
    <row r="1118" spans="1:8">
      <c r="A1118" s="220">
        <v>43831</v>
      </c>
      <c r="B1118" s="220">
        <v>44196</v>
      </c>
      <c r="C1118" s="56" t="s">
        <v>5</v>
      </c>
      <c r="D1118" s="56" t="s">
        <v>9</v>
      </c>
      <c r="E1118" s="56">
        <v>2020</v>
      </c>
      <c r="F1118" s="56">
        <v>1596.41</v>
      </c>
      <c r="G1118" t="s">
        <v>232</v>
      </c>
      <c r="H1118">
        <v>2221.44</v>
      </c>
    </row>
    <row r="1119" spans="1:8">
      <c r="A1119" s="220">
        <v>43831</v>
      </c>
      <c r="B1119" s="220">
        <v>44196</v>
      </c>
      <c r="C1119" s="56" t="s">
        <v>5</v>
      </c>
      <c r="D1119" s="56" t="s">
        <v>9</v>
      </c>
      <c r="E1119" s="56">
        <v>2020</v>
      </c>
      <c r="F1119" s="56">
        <v>723.7</v>
      </c>
      <c r="G1119" t="s">
        <v>232</v>
      </c>
      <c r="H1119">
        <v>1007.04</v>
      </c>
    </row>
    <row r="1120" spans="1:8">
      <c r="A1120" s="220">
        <v>43466</v>
      </c>
      <c r="B1120" s="220">
        <v>43830</v>
      </c>
      <c r="C1120" s="56" t="s">
        <v>5</v>
      </c>
      <c r="D1120" s="56" t="s">
        <v>9</v>
      </c>
      <c r="E1120" s="56">
        <v>2019</v>
      </c>
      <c r="F1120" s="56">
        <v>577.99</v>
      </c>
      <c r="G1120" t="s">
        <v>232</v>
      </c>
      <c r="H1120">
        <v>752.52</v>
      </c>
    </row>
    <row r="1121" spans="1:8">
      <c r="A1121" s="220">
        <v>43466</v>
      </c>
      <c r="B1121" s="220">
        <v>43830</v>
      </c>
      <c r="C1121" s="56" t="s">
        <v>5</v>
      </c>
      <c r="D1121" s="56" t="s">
        <v>9</v>
      </c>
      <c r="E1121" s="56">
        <v>2019</v>
      </c>
      <c r="F1121" s="56">
        <v>970.32</v>
      </c>
      <c r="G1121" t="s">
        <v>232</v>
      </c>
      <c r="H1121">
        <v>1263.31</v>
      </c>
    </row>
    <row r="1122" spans="1:8">
      <c r="A1122" s="220">
        <v>43831</v>
      </c>
      <c r="B1122" s="220">
        <v>44196</v>
      </c>
      <c r="C1122" s="56" t="s">
        <v>5</v>
      </c>
      <c r="D1122" s="56" t="s">
        <v>9</v>
      </c>
      <c r="E1122" s="56">
        <v>2020</v>
      </c>
      <c r="F1122" s="56">
        <v>1113.92</v>
      </c>
      <c r="G1122" t="s">
        <v>232</v>
      </c>
      <c r="H1122">
        <v>1550.04</v>
      </c>
    </row>
    <row r="1123" spans="1:8">
      <c r="A1123" s="220">
        <v>43831</v>
      </c>
      <c r="B1123" s="220">
        <v>44196</v>
      </c>
      <c r="C1123" s="56" t="s">
        <v>5</v>
      </c>
      <c r="D1123" s="56" t="s">
        <v>9</v>
      </c>
      <c r="E1123" s="56">
        <v>2020</v>
      </c>
      <c r="F1123" s="56">
        <v>627.54</v>
      </c>
      <c r="G1123" t="s">
        <v>232</v>
      </c>
      <c r="H1123">
        <v>873.24</v>
      </c>
    </row>
    <row r="1124" spans="1:8">
      <c r="A1124" s="220">
        <v>43466</v>
      </c>
      <c r="B1124" s="220">
        <v>43830</v>
      </c>
      <c r="C1124" s="56" t="s">
        <v>5</v>
      </c>
      <c r="D1124" s="56" t="s">
        <v>9</v>
      </c>
      <c r="E1124" s="56">
        <v>2019</v>
      </c>
      <c r="F1124" s="56">
        <v>45.32</v>
      </c>
      <c r="G1124" t="s">
        <v>232</v>
      </c>
      <c r="H1124">
        <v>59</v>
      </c>
    </row>
    <row r="1125" spans="1:8">
      <c r="A1125" s="220">
        <v>43466</v>
      </c>
      <c r="B1125" s="220">
        <v>43830</v>
      </c>
      <c r="C1125" s="56" t="s">
        <v>5</v>
      </c>
      <c r="D1125" s="56" t="s">
        <v>9</v>
      </c>
      <c r="E1125" s="56">
        <v>2019</v>
      </c>
      <c r="F1125" s="56">
        <v>1907.46</v>
      </c>
      <c r="G1125" t="s">
        <v>232</v>
      </c>
      <c r="H1125">
        <v>2483.42</v>
      </c>
    </row>
    <row r="1126" spans="1:8">
      <c r="A1126" s="220">
        <v>43466</v>
      </c>
      <c r="B1126" s="220">
        <v>43830</v>
      </c>
      <c r="C1126" s="56" t="s">
        <v>5</v>
      </c>
      <c r="D1126" s="56" t="s">
        <v>9</v>
      </c>
      <c r="E1126" s="56">
        <v>2019</v>
      </c>
      <c r="F1126" s="56">
        <v>666.32</v>
      </c>
      <c r="G1126" t="s">
        <v>232</v>
      </c>
      <c r="H1126">
        <v>867.52</v>
      </c>
    </row>
    <row r="1127" spans="1:8">
      <c r="A1127" s="220">
        <v>43466</v>
      </c>
      <c r="B1127" s="220">
        <v>43830</v>
      </c>
      <c r="C1127" s="56" t="s">
        <v>5</v>
      </c>
      <c r="D1127" s="56" t="s">
        <v>9</v>
      </c>
      <c r="E1127" s="56">
        <v>2019</v>
      </c>
      <c r="F1127" s="56">
        <v>791.55</v>
      </c>
      <c r="G1127" t="s">
        <v>232</v>
      </c>
      <c r="H1127">
        <v>1030.56</v>
      </c>
    </row>
    <row r="1128" spans="1:8">
      <c r="A1128" s="220">
        <v>43466</v>
      </c>
      <c r="B1128" s="220">
        <v>43830</v>
      </c>
      <c r="C1128" s="56" t="s">
        <v>5</v>
      </c>
      <c r="D1128" s="56" t="s">
        <v>9</v>
      </c>
      <c r="E1128" s="56">
        <v>2019</v>
      </c>
      <c r="F1128" s="56">
        <v>2309.61</v>
      </c>
      <c r="G1128" t="s">
        <v>232</v>
      </c>
      <c r="H1128">
        <v>3007</v>
      </c>
    </row>
    <row r="1129" spans="1:8">
      <c r="A1129" s="220">
        <v>43831</v>
      </c>
      <c r="B1129" s="220">
        <v>44196</v>
      </c>
      <c r="C1129" s="56" t="s">
        <v>5</v>
      </c>
      <c r="D1129" s="56" t="s">
        <v>9</v>
      </c>
      <c r="E1129" s="56">
        <v>2020</v>
      </c>
      <c r="F1129" s="56">
        <v>688.17</v>
      </c>
      <c r="G1129" t="s">
        <v>232</v>
      </c>
      <c r="H1129">
        <v>957.6</v>
      </c>
    </row>
    <row r="1130" spans="1:8">
      <c r="A1130" s="220">
        <v>43831</v>
      </c>
      <c r="B1130" s="220">
        <v>44196</v>
      </c>
      <c r="C1130" s="56" t="s">
        <v>5</v>
      </c>
      <c r="D1130" s="56" t="s">
        <v>9</v>
      </c>
      <c r="E1130" s="56">
        <v>2020</v>
      </c>
      <c r="F1130" s="56">
        <v>2556.98</v>
      </c>
      <c r="G1130" t="s">
        <v>232</v>
      </c>
      <c r="H1130">
        <v>3558.1</v>
      </c>
    </row>
    <row r="1131" spans="1:8">
      <c r="A1131" s="220">
        <v>43831</v>
      </c>
      <c r="B1131" s="220">
        <v>44196</v>
      </c>
      <c r="C1131" s="56" t="s">
        <v>5</v>
      </c>
      <c r="D1131" s="56" t="s">
        <v>9</v>
      </c>
      <c r="E1131" s="56">
        <v>2020</v>
      </c>
      <c r="F1131" s="56">
        <v>1394.79</v>
      </c>
      <c r="G1131" t="s">
        <v>232</v>
      </c>
      <c r="H1131">
        <v>1940.88</v>
      </c>
    </row>
    <row r="1132" spans="1:8">
      <c r="A1132" s="220">
        <v>43831</v>
      </c>
      <c r="B1132" s="220">
        <v>44196</v>
      </c>
      <c r="C1132" s="56" t="s">
        <v>5</v>
      </c>
      <c r="D1132" s="56" t="s">
        <v>9</v>
      </c>
      <c r="E1132" s="56">
        <v>2020</v>
      </c>
      <c r="F1132" s="56">
        <v>688.17</v>
      </c>
      <c r="G1132" t="s">
        <v>232</v>
      </c>
      <c r="H1132">
        <v>957.6</v>
      </c>
    </row>
    <row r="1133" spans="1:8">
      <c r="A1133" s="220">
        <v>43466</v>
      </c>
      <c r="B1133" s="220">
        <v>43830</v>
      </c>
      <c r="C1133" s="56" t="s">
        <v>5</v>
      </c>
      <c r="D1133" s="56" t="s">
        <v>9</v>
      </c>
      <c r="E1133" s="56">
        <v>2019</v>
      </c>
      <c r="F1133" s="56">
        <v>571.14</v>
      </c>
      <c r="G1133" t="s">
        <v>232</v>
      </c>
      <c r="H1133">
        <v>743.6</v>
      </c>
    </row>
    <row r="1134" spans="1:8">
      <c r="A1134" s="220">
        <v>43466</v>
      </c>
      <c r="B1134" s="220">
        <v>43830</v>
      </c>
      <c r="C1134" s="56" t="s">
        <v>5</v>
      </c>
      <c r="D1134" s="56" t="s">
        <v>9</v>
      </c>
      <c r="E1134" s="56">
        <v>2019</v>
      </c>
      <c r="F1134" s="56">
        <v>877.73</v>
      </c>
      <c r="G1134" t="s">
        <v>232</v>
      </c>
      <c r="H1134">
        <v>1142.76</v>
      </c>
    </row>
    <row r="1135" spans="1:8">
      <c r="A1135" s="220">
        <v>43831</v>
      </c>
      <c r="B1135" s="220">
        <v>44196</v>
      </c>
      <c r="C1135" s="56" t="s">
        <v>5</v>
      </c>
      <c r="D1135" s="56" t="s">
        <v>9</v>
      </c>
      <c r="E1135" s="56">
        <v>2020</v>
      </c>
      <c r="F1135" s="56">
        <v>56.02</v>
      </c>
      <c r="G1135" t="s">
        <v>232</v>
      </c>
      <c r="H1135">
        <v>77.95</v>
      </c>
    </row>
    <row r="1136" spans="1:8">
      <c r="A1136" s="220">
        <v>43466</v>
      </c>
      <c r="B1136" s="220">
        <v>43830</v>
      </c>
      <c r="C1136" s="56" t="s">
        <v>5</v>
      </c>
      <c r="D1136" s="56" t="s">
        <v>9</v>
      </c>
      <c r="E1136" s="56">
        <v>2019</v>
      </c>
      <c r="F1136" s="56">
        <v>1546.97</v>
      </c>
      <c r="G1136" t="s">
        <v>232</v>
      </c>
      <c r="H1136">
        <v>2014.08</v>
      </c>
    </row>
    <row r="1137" spans="1:8">
      <c r="A1137" s="220">
        <v>43466</v>
      </c>
      <c r="B1137" s="220">
        <v>43830</v>
      </c>
      <c r="C1137" s="56" t="s">
        <v>5</v>
      </c>
      <c r="D1137" s="56" t="s">
        <v>9</v>
      </c>
      <c r="E1137" s="56">
        <v>2019</v>
      </c>
      <c r="F1137" s="56">
        <v>782.09</v>
      </c>
      <c r="G1137" t="s">
        <v>232</v>
      </c>
      <c r="H1137">
        <v>1018.25</v>
      </c>
    </row>
    <row r="1138" spans="1:8">
      <c r="A1138" s="220">
        <v>43831</v>
      </c>
      <c r="B1138" s="220">
        <v>44196</v>
      </c>
      <c r="C1138" s="56" t="s">
        <v>5</v>
      </c>
      <c r="D1138" s="56" t="s">
        <v>9</v>
      </c>
      <c r="E1138" s="56">
        <v>2020</v>
      </c>
      <c r="F1138" s="56">
        <v>970.22</v>
      </c>
      <c r="G1138" t="s">
        <v>232</v>
      </c>
      <c r="H1138">
        <v>1350.08</v>
      </c>
    </row>
    <row r="1139" spans="1:8">
      <c r="A1139" s="220">
        <v>43831</v>
      </c>
      <c r="B1139" s="220">
        <v>44196</v>
      </c>
      <c r="C1139" s="56" t="s">
        <v>5</v>
      </c>
      <c r="D1139" s="56" t="s">
        <v>9</v>
      </c>
      <c r="E1139" s="56">
        <v>2020</v>
      </c>
      <c r="F1139" s="56">
        <v>751.72</v>
      </c>
      <c r="G1139" t="s">
        <v>232</v>
      </c>
      <c r="H1139">
        <v>1046.04</v>
      </c>
    </row>
    <row r="1140" spans="1:8">
      <c r="A1140" s="220">
        <v>43466</v>
      </c>
      <c r="B1140" s="220">
        <v>43830</v>
      </c>
      <c r="C1140" s="56" t="s">
        <v>5</v>
      </c>
      <c r="D1140" s="56" t="s">
        <v>9</v>
      </c>
      <c r="E1140" s="56">
        <v>2019</v>
      </c>
      <c r="F1140" s="56">
        <v>383.42</v>
      </c>
      <c r="G1140" t="s">
        <v>232</v>
      </c>
      <c r="H1140">
        <v>499.2</v>
      </c>
    </row>
    <row r="1141" spans="1:8">
      <c r="A1141" s="220">
        <v>43831</v>
      </c>
      <c r="B1141" s="220">
        <v>44196</v>
      </c>
      <c r="C1141" s="56" t="s">
        <v>5</v>
      </c>
      <c r="D1141" s="56" t="s">
        <v>9</v>
      </c>
      <c r="E1141" s="56">
        <v>2020</v>
      </c>
      <c r="F1141" s="56">
        <v>403.67</v>
      </c>
      <c r="G1141" t="s">
        <v>232</v>
      </c>
      <c r="H1141">
        <v>561.72</v>
      </c>
    </row>
    <row r="1142" spans="1:8">
      <c r="A1142" s="220">
        <v>43466</v>
      </c>
      <c r="B1142" s="220">
        <v>43830</v>
      </c>
      <c r="C1142" s="56" t="s">
        <v>5</v>
      </c>
      <c r="D1142" s="56" t="s">
        <v>9</v>
      </c>
      <c r="E1142" s="56">
        <v>2019</v>
      </c>
      <c r="F1142" s="56">
        <v>791.55</v>
      </c>
      <c r="G1142" t="s">
        <v>232</v>
      </c>
      <c r="H1142">
        <v>1030.56</v>
      </c>
    </row>
    <row r="1143" spans="1:8">
      <c r="A1143" s="220">
        <v>43831</v>
      </c>
      <c r="B1143" s="220">
        <v>44196</v>
      </c>
      <c r="C1143" s="56" t="s">
        <v>5</v>
      </c>
      <c r="D1143" s="56" t="s">
        <v>9</v>
      </c>
      <c r="E1143" s="56">
        <v>2020</v>
      </c>
      <c r="F1143" s="56">
        <v>460.24</v>
      </c>
      <c r="G1143" t="s">
        <v>232</v>
      </c>
      <c r="H1143">
        <v>640.44000000000005</v>
      </c>
    </row>
    <row r="1144" spans="1:8">
      <c r="A1144" s="220">
        <v>43831</v>
      </c>
      <c r="B1144" s="220">
        <v>44196</v>
      </c>
      <c r="C1144" s="56" t="s">
        <v>5</v>
      </c>
      <c r="D1144" s="56" t="s">
        <v>9</v>
      </c>
      <c r="E1144" s="56">
        <v>2020</v>
      </c>
      <c r="F1144" s="56">
        <v>1266.47</v>
      </c>
      <c r="G1144" t="s">
        <v>232</v>
      </c>
      <c r="H1144">
        <v>1762.32</v>
      </c>
    </row>
    <row r="1145" spans="1:8">
      <c r="A1145" s="220">
        <v>43466</v>
      </c>
      <c r="B1145" s="220">
        <v>43830</v>
      </c>
      <c r="C1145" s="56" t="s">
        <v>5</v>
      </c>
      <c r="D1145" s="56" t="s">
        <v>9</v>
      </c>
      <c r="E1145" s="56">
        <v>2019</v>
      </c>
      <c r="F1145" s="56">
        <v>660.76</v>
      </c>
      <c r="G1145" t="s">
        <v>232</v>
      </c>
      <c r="H1145">
        <v>860.28</v>
      </c>
    </row>
    <row r="1146" spans="1:8">
      <c r="A1146" s="220">
        <v>43466</v>
      </c>
      <c r="B1146" s="220">
        <v>43830</v>
      </c>
      <c r="C1146" s="56" t="s">
        <v>5</v>
      </c>
      <c r="D1146" s="56" t="s">
        <v>9</v>
      </c>
      <c r="E1146" s="56">
        <v>2019</v>
      </c>
      <c r="F1146" s="56">
        <v>1894.1</v>
      </c>
      <c r="G1146" t="s">
        <v>232</v>
      </c>
      <c r="H1146">
        <v>2466.0300000000002</v>
      </c>
    </row>
    <row r="1147" spans="1:8">
      <c r="A1147" s="220">
        <v>43831</v>
      </c>
      <c r="B1147" s="220">
        <v>44196</v>
      </c>
      <c r="C1147" s="56" t="s">
        <v>5</v>
      </c>
      <c r="D1147" s="56" t="s">
        <v>9</v>
      </c>
      <c r="E1147" s="56">
        <v>2020</v>
      </c>
      <c r="F1147" s="56">
        <v>862.62</v>
      </c>
      <c r="G1147" t="s">
        <v>232</v>
      </c>
      <c r="H1147">
        <v>1200.3599999999999</v>
      </c>
    </row>
    <row r="1148" spans="1:8">
      <c r="A1148" s="220">
        <v>43466</v>
      </c>
      <c r="B1148" s="220">
        <v>43830</v>
      </c>
      <c r="C1148" s="56" t="s">
        <v>5</v>
      </c>
      <c r="D1148" s="56" t="s">
        <v>9</v>
      </c>
      <c r="E1148" s="56">
        <v>2019</v>
      </c>
      <c r="F1148" s="56">
        <v>2714.3</v>
      </c>
      <c r="G1148" t="s">
        <v>232</v>
      </c>
      <c r="H1148">
        <v>3533.9</v>
      </c>
    </row>
    <row r="1149" spans="1:8">
      <c r="A1149" s="220">
        <v>43831</v>
      </c>
      <c r="B1149" s="220">
        <v>44196</v>
      </c>
      <c r="C1149" s="56" t="s">
        <v>5</v>
      </c>
      <c r="D1149" s="56" t="s">
        <v>9</v>
      </c>
      <c r="E1149" s="56">
        <v>2020</v>
      </c>
      <c r="F1149" s="56">
        <v>470.33</v>
      </c>
      <c r="G1149" t="s">
        <v>232</v>
      </c>
      <c r="H1149">
        <v>654.48</v>
      </c>
    </row>
    <row r="1150" spans="1:8">
      <c r="A1150" s="220">
        <v>43831</v>
      </c>
      <c r="B1150" s="220">
        <v>44196</v>
      </c>
      <c r="C1150" s="56" t="s">
        <v>5</v>
      </c>
      <c r="D1150" s="56" t="s">
        <v>9</v>
      </c>
      <c r="E1150" s="56">
        <v>2020</v>
      </c>
      <c r="F1150" s="56">
        <v>751.72</v>
      </c>
      <c r="G1150" t="s">
        <v>232</v>
      </c>
      <c r="H1150">
        <v>1046.04</v>
      </c>
    </row>
    <row r="1151" spans="1:8">
      <c r="A1151" s="220">
        <v>43466</v>
      </c>
      <c r="B1151" s="220">
        <v>43830</v>
      </c>
      <c r="C1151" s="56" t="s">
        <v>5</v>
      </c>
      <c r="D1151" s="56" t="s">
        <v>9</v>
      </c>
      <c r="E1151" s="56">
        <v>2019</v>
      </c>
      <c r="F1151" s="56">
        <v>1029.6199999999999</v>
      </c>
      <c r="G1151" t="s">
        <v>232</v>
      </c>
      <c r="H1151">
        <v>1340.52</v>
      </c>
    </row>
    <row r="1152" spans="1:8">
      <c r="A1152" s="220">
        <v>43466</v>
      </c>
      <c r="B1152" s="220">
        <v>43830</v>
      </c>
      <c r="C1152" s="56" t="s">
        <v>5</v>
      </c>
      <c r="D1152" s="56" t="s">
        <v>9</v>
      </c>
      <c r="E1152" s="56">
        <v>2019</v>
      </c>
      <c r="F1152" s="56">
        <v>2186.14</v>
      </c>
      <c r="G1152" t="s">
        <v>232</v>
      </c>
      <c r="H1152">
        <v>2846.26</v>
      </c>
    </row>
    <row r="1153" spans="1:8">
      <c r="A1153" s="220">
        <v>43831</v>
      </c>
      <c r="B1153" s="220">
        <v>44196</v>
      </c>
      <c r="C1153" s="56" t="s">
        <v>5</v>
      </c>
      <c r="D1153" s="56" t="s">
        <v>9</v>
      </c>
      <c r="E1153" s="56">
        <v>2020</v>
      </c>
      <c r="F1153" s="56">
        <v>1032.94</v>
      </c>
      <c r="G1153" t="s">
        <v>232</v>
      </c>
      <c r="H1153">
        <v>1437.36</v>
      </c>
    </row>
    <row r="1154" spans="1:8">
      <c r="A1154" s="220">
        <v>43466</v>
      </c>
      <c r="B1154" s="220">
        <v>43830</v>
      </c>
      <c r="C1154" s="56" t="s">
        <v>5</v>
      </c>
      <c r="D1154" s="56" t="s">
        <v>9</v>
      </c>
      <c r="E1154" s="56">
        <v>2019</v>
      </c>
      <c r="F1154" s="56">
        <v>1816.47</v>
      </c>
      <c r="G1154" t="s">
        <v>232</v>
      </c>
      <c r="H1154">
        <v>2364.96</v>
      </c>
    </row>
    <row r="1155" spans="1:8">
      <c r="A1155" s="220">
        <v>43466</v>
      </c>
      <c r="B1155" s="220">
        <v>43830</v>
      </c>
      <c r="C1155" s="56" t="s">
        <v>5</v>
      </c>
      <c r="D1155" s="56" t="s">
        <v>9</v>
      </c>
      <c r="E1155" s="56">
        <v>2019</v>
      </c>
      <c r="F1155" s="56">
        <v>626.29</v>
      </c>
      <c r="G1155" t="s">
        <v>232</v>
      </c>
      <c r="H1155">
        <v>815.4</v>
      </c>
    </row>
    <row r="1156" spans="1:8">
      <c r="A1156" s="220">
        <v>43466</v>
      </c>
      <c r="B1156" s="220">
        <v>43830</v>
      </c>
      <c r="C1156" s="56" t="s">
        <v>5</v>
      </c>
      <c r="D1156" s="56" t="s">
        <v>9</v>
      </c>
      <c r="E1156" s="56">
        <v>2019</v>
      </c>
      <c r="F1156" s="56">
        <v>1960.99</v>
      </c>
      <c r="G1156" t="s">
        <v>232</v>
      </c>
      <c r="H1156">
        <v>2553.12</v>
      </c>
    </row>
    <row r="1157" spans="1:8">
      <c r="A1157" s="220">
        <v>43466</v>
      </c>
      <c r="B1157" s="220">
        <v>43830</v>
      </c>
      <c r="C1157" s="56" t="s">
        <v>5</v>
      </c>
      <c r="D1157" s="56" t="s">
        <v>9</v>
      </c>
      <c r="E1157" s="56">
        <v>2019</v>
      </c>
      <c r="F1157" s="56">
        <v>792.71</v>
      </c>
      <c r="G1157" t="s">
        <v>232</v>
      </c>
      <c r="H1157">
        <v>1032.07</v>
      </c>
    </row>
    <row r="1158" spans="1:8">
      <c r="A1158" s="220">
        <v>43466</v>
      </c>
      <c r="B1158" s="220">
        <v>43830</v>
      </c>
      <c r="C1158" s="56" t="s">
        <v>5</v>
      </c>
      <c r="D1158" s="56" t="s">
        <v>9</v>
      </c>
      <c r="E1158" s="56">
        <v>2019</v>
      </c>
      <c r="F1158" s="56">
        <v>791.55</v>
      </c>
      <c r="G1158" t="s">
        <v>232</v>
      </c>
      <c r="H1158">
        <v>1030.56</v>
      </c>
    </row>
    <row r="1159" spans="1:8">
      <c r="A1159" s="220">
        <v>43466</v>
      </c>
      <c r="B1159" s="220">
        <v>43830</v>
      </c>
      <c r="C1159" s="56" t="s">
        <v>5</v>
      </c>
      <c r="D1159" s="56" t="s">
        <v>9</v>
      </c>
      <c r="E1159" s="56">
        <v>2019</v>
      </c>
      <c r="F1159" s="56">
        <v>462.94</v>
      </c>
      <c r="G1159" t="s">
        <v>232</v>
      </c>
      <c r="H1159">
        <v>602.73</v>
      </c>
    </row>
    <row r="1160" spans="1:8">
      <c r="A1160" s="220">
        <v>43466</v>
      </c>
      <c r="B1160" s="220">
        <v>43830</v>
      </c>
      <c r="C1160" s="56" t="s">
        <v>5</v>
      </c>
      <c r="D1160" s="56" t="s">
        <v>9</v>
      </c>
      <c r="E1160" s="56">
        <v>2019</v>
      </c>
      <c r="F1160" s="56">
        <v>687.86</v>
      </c>
      <c r="G1160" t="s">
        <v>232</v>
      </c>
      <c r="H1160">
        <v>895.56</v>
      </c>
    </row>
    <row r="1161" spans="1:8">
      <c r="A1161" s="220">
        <v>43831</v>
      </c>
      <c r="B1161" s="220">
        <v>44196</v>
      </c>
      <c r="C1161" s="56" t="s">
        <v>5</v>
      </c>
      <c r="D1161" s="56" t="s">
        <v>9</v>
      </c>
      <c r="E1161" s="56">
        <v>2020</v>
      </c>
      <c r="F1161" s="56">
        <v>3559.01</v>
      </c>
      <c r="G1161" t="s">
        <v>232</v>
      </c>
      <c r="H1161">
        <v>4952.4399999999996</v>
      </c>
    </row>
    <row r="1162" spans="1:8">
      <c r="A1162" s="220">
        <v>43466</v>
      </c>
      <c r="B1162" s="220">
        <v>43830</v>
      </c>
      <c r="C1162" s="56" t="s">
        <v>5</v>
      </c>
      <c r="D1162" s="56" t="s">
        <v>9</v>
      </c>
      <c r="E1162" s="56">
        <v>2019</v>
      </c>
      <c r="F1162" s="56">
        <v>687.86</v>
      </c>
      <c r="G1162" t="s">
        <v>232</v>
      </c>
      <c r="H1162">
        <v>895.56</v>
      </c>
    </row>
    <row r="1163" spans="1:8">
      <c r="A1163" s="220">
        <v>43466</v>
      </c>
      <c r="B1163" s="220">
        <v>43830</v>
      </c>
      <c r="C1163" s="56" t="s">
        <v>5</v>
      </c>
      <c r="D1163" s="56" t="s">
        <v>9</v>
      </c>
      <c r="E1163" s="56">
        <v>2019</v>
      </c>
      <c r="F1163" s="56">
        <v>589.79</v>
      </c>
      <c r="G1163" t="s">
        <v>232</v>
      </c>
      <c r="H1163">
        <v>767.88</v>
      </c>
    </row>
    <row r="1164" spans="1:8">
      <c r="A1164" s="220">
        <v>43831</v>
      </c>
      <c r="B1164" s="220">
        <v>44196</v>
      </c>
      <c r="C1164" s="56" t="s">
        <v>5</v>
      </c>
      <c r="D1164" s="56" t="s">
        <v>9</v>
      </c>
      <c r="E1164" s="56">
        <v>2020</v>
      </c>
      <c r="F1164" s="56">
        <v>560.19000000000005</v>
      </c>
      <c r="G1164" t="s">
        <v>232</v>
      </c>
      <c r="H1164">
        <v>779.52</v>
      </c>
    </row>
    <row r="1165" spans="1:8">
      <c r="A1165" s="220">
        <v>43831</v>
      </c>
      <c r="B1165" s="220">
        <v>44196</v>
      </c>
      <c r="C1165" s="56" t="s">
        <v>5</v>
      </c>
      <c r="D1165" s="56" t="s">
        <v>9</v>
      </c>
      <c r="E1165" s="56">
        <v>2020</v>
      </c>
      <c r="F1165" s="56">
        <v>1118.31</v>
      </c>
      <c r="G1165" t="s">
        <v>232</v>
      </c>
      <c r="H1165">
        <v>1556.16</v>
      </c>
    </row>
    <row r="1166" spans="1:8">
      <c r="A1166" s="220">
        <v>43466</v>
      </c>
      <c r="B1166" s="220">
        <v>43830</v>
      </c>
      <c r="C1166" s="56" t="s">
        <v>5</v>
      </c>
      <c r="D1166" s="56" t="s">
        <v>9</v>
      </c>
      <c r="E1166" s="56">
        <v>2019</v>
      </c>
      <c r="F1166" s="56">
        <v>985.1</v>
      </c>
      <c r="G1166" t="s">
        <v>232</v>
      </c>
      <c r="H1166">
        <v>1282.56</v>
      </c>
    </row>
    <row r="1167" spans="1:8">
      <c r="A1167" s="220">
        <v>43466</v>
      </c>
      <c r="B1167" s="220">
        <v>43830</v>
      </c>
      <c r="C1167" s="56" t="s">
        <v>5</v>
      </c>
      <c r="D1167" s="56" t="s">
        <v>9</v>
      </c>
      <c r="E1167" s="56">
        <v>2019</v>
      </c>
      <c r="F1167" s="56">
        <v>908.23</v>
      </c>
      <c r="G1167" t="s">
        <v>232</v>
      </c>
      <c r="H1167">
        <v>1182.48</v>
      </c>
    </row>
    <row r="1168" spans="1:8">
      <c r="A1168" s="220">
        <v>43466</v>
      </c>
      <c r="B1168" s="220">
        <v>43830</v>
      </c>
      <c r="C1168" s="56" t="s">
        <v>5</v>
      </c>
      <c r="D1168" s="56" t="s">
        <v>9</v>
      </c>
      <c r="E1168" s="56">
        <v>2019</v>
      </c>
      <c r="F1168" s="56">
        <v>908.23</v>
      </c>
      <c r="G1168" t="s">
        <v>232</v>
      </c>
      <c r="H1168">
        <v>1182.48</v>
      </c>
    </row>
    <row r="1169" spans="1:8">
      <c r="A1169" s="220">
        <v>43831</v>
      </c>
      <c r="B1169" s="220">
        <v>44196</v>
      </c>
      <c r="C1169" s="56" t="s">
        <v>5</v>
      </c>
      <c r="D1169" s="56" t="s">
        <v>9</v>
      </c>
      <c r="E1169" s="56">
        <v>2020</v>
      </c>
      <c r="F1169" s="56">
        <v>1011.04</v>
      </c>
      <c r="G1169" t="s">
        <v>232</v>
      </c>
      <c r="H1169">
        <v>1406.88</v>
      </c>
    </row>
    <row r="1170" spans="1:8">
      <c r="A1170" s="220">
        <v>43466</v>
      </c>
      <c r="B1170" s="220">
        <v>43830</v>
      </c>
      <c r="C1170" s="56" t="s">
        <v>5</v>
      </c>
      <c r="D1170" s="56" t="s">
        <v>9</v>
      </c>
      <c r="E1170" s="56">
        <v>2019</v>
      </c>
      <c r="F1170" s="56">
        <v>773.48</v>
      </c>
      <c r="G1170" t="s">
        <v>232</v>
      </c>
      <c r="H1170">
        <v>1007.04</v>
      </c>
    </row>
    <row r="1171" spans="1:8">
      <c r="A1171" s="220">
        <v>43466</v>
      </c>
      <c r="B1171" s="220">
        <v>43830</v>
      </c>
      <c r="C1171" s="56" t="s">
        <v>5</v>
      </c>
      <c r="D1171" s="56" t="s">
        <v>9</v>
      </c>
      <c r="E1171" s="56">
        <v>2019</v>
      </c>
      <c r="F1171" s="56">
        <v>1919.51</v>
      </c>
      <c r="G1171" t="s">
        <v>232</v>
      </c>
      <c r="H1171">
        <v>2499.11</v>
      </c>
    </row>
    <row r="1172" spans="1:8">
      <c r="A1172" s="220">
        <v>43831</v>
      </c>
      <c r="B1172" s="220">
        <v>44196</v>
      </c>
      <c r="C1172" s="56" t="s">
        <v>5</v>
      </c>
      <c r="D1172" s="56" t="s">
        <v>9</v>
      </c>
      <c r="E1172" s="56">
        <v>2020</v>
      </c>
      <c r="F1172" s="56">
        <v>1113.92</v>
      </c>
      <c r="G1172" t="s">
        <v>232</v>
      </c>
      <c r="H1172">
        <v>1550.04</v>
      </c>
    </row>
    <row r="1173" spans="1:8">
      <c r="A1173" s="220">
        <v>43831</v>
      </c>
      <c r="B1173" s="220">
        <v>44196</v>
      </c>
      <c r="C1173" s="56" t="s">
        <v>5</v>
      </c>
      <c r="D1173" s="56" t="s">
        <v>9</v>
      </c>
      <c r="E1173" s="56">
        <v>2020</v>
      </c>
      <c r="F1173" s="56">
        <v>734.65</v>
      </c>
      <c r="G1173" t="s">
        <v>232</v>
      </c>
      <c r="H1173">
        <v>1022.28</v>
      </c>
    </row>
    <row r="1174" spans="1:8">
      <c r="A1174" s="220">
        <v>43466</v>
      </c>
      <c r="B1174" s="220">
        <v>43830</v>
      </c>
      <c r="C1174" s="56" t="s">
        <v>5</v>
      </c>
      <c r="D1174" s="56" t="s">
        <v>9</v>
      </c>
      <c r="E1174" s="56">
        <v>2019</v>
      </c>
      <c r="F1174" s="56">
        <v>395.09</v>
      </c>
      <c r="G1174" t="s">
        <v>232</v>
      </c>
      <c r="H1174">
        <v>514.39</v>
      </c>
    </row>
    <row r="1175" spans="1:8">
      <c r="A1175" s="220">
        <v>43466</v>
      </c>
      <c r="B1175" s="220">
        <v>43830</v>
      </c>
      <c r="C1175" s="56" t="s">
        <v>5</v>
      </c>
      <c r="D1175" s="56" t="s">
        <v>9</v>
      </c>
      <c r="E1175" s="56">
        <v>2019</v>
      </c>
      <c r="F1175" s="56">
        <v>560.88</v>
      </c>
      <c r="G1175" t="s">
        <v>232</v>
      </c>
      <c r="H1175">
        <v>730.24</v>
      </c>
    </row>
    <row r="1176" spans="1:8">
      <c r="A1176" s="220">
        <v>43466</v>
      </c>
      <c r="B1176" s="220">
        <v>43830</v>
      </c>
      <c r="C1176" s="56" t="s">
        <v>5</v>
      </c>
      <c r="D1176" s="56" t="s">
        <v>9</v>
      </c>
      <c r="E1176" s="56">
        <v>2019</v>
      </c>
      <c r="F1176" s="56">
        <v>1594.95</v>
      </c>
      <c r="G1176" t="s">
        <v>232</v>
      </c>
      <c r="H1176">
        <v>2076.5500000000002</v>
      </c>
    </row>
    <row r="1177" spans="1:8">
      <c r="A1177" s="220">
        <v>43831</v>
      </c>
      <c r="B1177" s="220">
        <v>44196</v>
      </c>
      <c r="C1177" s="56" t="s">
        <v>5</v>
      </c>
      <c r="D1177" s="56" t="s">
        <v>9</v>
      </c>
      <c r="E1177" s="56">
        <v>2020</v>
      </c>
      <c r="F1177" s="56">
        <v>1113.92</v>
      </c>
      <c r="G1177" t="s">
        <v>232</v>
      </c>
      <c r="H1177">
        <v>1550.04</v>
      </c>
    </row>
    <row r="1178" spans="1:8">
      <c r="A1178" s="220">
        <v>43466</v>
      </c>
      <c r="B1178" s="220">
        <v>43830</v>
      </c>
      <c r="C1178" s="56" t="s">
        <v>5</v>
      </c>
      <c r="D1178" s="56" t="s">
        <v>9</v>
      </c>
      <c r="E1178" s="56">
        <v>2019</v>
      </c>
      <c r="F1178" s="56">
        <v>687.86</v>
      </c>
      <c r="G1178" t="s">
        <v>232</v>
      </c>
      <c r="H1178">
        <v>895.56</v>
      </c>
    </row>
    <row r="1179" spans="1:8">
      <c r="A1179" s="220">
        <v>43466</v>
      </c>
      <c r="B1179" s="220">
        <v>43830</v>
      </c>
      <c r="C1179" s="56" t="s">
        <v>5</v>
      </c>
      <c r="D1179" s="56" t="s">
        <v>9</v>
      </c>
      <c r="E1179" s="56">
        <v>2019</v>
      </c>
      <c r="F1179" s="56">
        <v>535.69000000000005</v>
      </c>
      <c r="G1179" t="s">
        <v>232</v>
      </c>
      <c r="H1179">
        <v>697.44</v>
      </c>
    </row>
    <row r="1180" spans="1:8">
      <c r="A1180" s="220">
        <v>43831</v>
      </c>
      <c r="B1180" s="220">
        <v>44196</v>
      </c>
      <c r="C1180" s="56" t="s">
        <v>5</v>
      </c>
      <c r="D1180" s="56" t="s">
        <v>9</v>
      </c>
      <c r="E1180" s="56">
        <v>2020</v>
      </c>
      <c r="F1180" s="56">
        <v>697.39</v>
      </c>
      <c r="G1180" t="s">
        <v>232</v>
      </c>
      <c r="H1180">
        <v>970.44</v>
      </c>
    </row>
    <row r="1181" spans="1:8">
      <c r="A1181" s="220">
        <v>43831</v>
      </c>
      <c r="B1181" s="220">
        <v>44196</v>
      </c>
      <c r="C1181" s="56" t="s">
        <v>5</v>
      </c>
      <c r="D1181" s="56" t="s">
        <v>9</v>
      </c>
      <c r="E1181" s="56">
        <v>2020</v>
      </c>
      <c r="F1181" s="56">
        <v>734.65</v>
      </c>
      <c r="G1181" t="s">
        <v>232</v>
      </c>
      <c r="H1181">
        <v>1022.28</v>
      </c>
    </row>
    <row r="1182" spans="1:8">
      <c r="A1182" s="220">
        <v>43831</v>
      </c>
      <c r="B1182" s="220">
        <v>44196</v>
      </c>
      <c r="C1182" s="56" t="s">
        <v>5</v>
      </c>
      <c r="D1182" s="56" t="s">
        <v>9</v>
      </c>
      <c r="E1182" s="56">
        <v>2020</v>
      </c>
      <c r="F1182" s="56">
        <v>3575.36</v>
      </c>
      <c r="G1182" t="s">
        <v>232</v>
      </c>
      <c r="H1182">
        <v>4975.2</v>
      </c>
    </row>
    <row r="1183" spans="1:8">
      <c r="A1183" s="220">
        <v>43831</v>
      </c>
      <c r="B1183" s="220">
        <v>44196</v>
      </c>
      <c r="C1183" s="56" t="s">
        <v>5</v>
      </c>
      <c r="D1183" s="56" t="s">
        <v>9</v>
      </c>
      <c r="E1183" s="56">
        <v>2020</v>
      </c>
      <c r="F1183" s="56">
        <v>452.91</v>
      </c>
      <c r="G1183" t="s">
        <v>232</v>
      </c>
      <c r="H1183">
        <v>630.24</v>
      </c>
    </row>
    <row r="1184" spans="1:8">
      <c r="A1184" s="220">
        <v>43466</v>
      </c>
      <c r="B1184" s="220">
        <v>43830</v>
      </c>
      <c r="C1184" s="56" t="s">
        <v>5</v>
      </c>
      <c r="D1184" s="56" t="s">
        <v>9</v>
      </c>
      <c r="E1184" s="56">
        <v>2019</v>
      </c>
      <c r="F1184" s="56">
        <v>4131.7700000000004</v>
      </c>
      <c r="G1184" t="s">
        <v>232</v>
      </c>
      <c r="H1184">
        <v>5379.37</v>
      </c>
    </row>
    <row r="1185" spans="1:8">
      <c r="A1185" s="220">
        <v>43466</v>
      </c>
      <c r="B1185" s="220">
        <v>43830</v>
      </c>
      <c r="C1185" s="56" t="s">
        <v>5</v>
      </c>
      <c r="D1185" s="56" t="s">
        <v>9</v>
      </c>
      <c r="E1185" s="56">
        <v>2019</v>
      </c>
      <c r="F1185" s="56">
        <v>1743.1</v>
      </c>
      <c r="G1185" t="s">
        <v>232</v>
      </c>
      <c r="H1185">
        <v>2269.44</v>
      </c>
    </row>
    <row r="1186" spans="1:8">
      <c r="A1186" s="220">
        <v>43466</v>
      </c>
      <c r="B1186" s="220">
        <v>43830</v>
      </c>
      <c r="C1186" s="56" t="s">
        <v>5</v>
      </c>
      <c r="D1186" s="56" t="s">
        <v>9</v>
      </c>
      <c r="E1186" s="56">
        <v>2019</v>
      </c>
      <c r="F1186" s="56">
        <v>1029.6199999999999</v>
      </c>
      <c r="G1186" t="s">
        <v>232</v>
      </c>
      <c r="H1186">
        <v>1340.52</v>
      </c>
    </row>
    <row r="1187" spans="1:8">
      <c r="A1187" s="220">
        <v>43831</v>
      </c>
      <c r="B1187" s="220">
        <v>44196</v>
      </c>
      <c r="C1187" s="56" t="s">
        <v>5</v>
      </c>
      <c r="D1187" s="56" t="s">
        <v>9</v>
      </c>
      <c r="E1187" s="56">
        <v>2020</v>
      </c>
      <c r="F1187" s="56">
        <v>5562.68</v>
      </c>
      <c r="G1187" t="s">
        <v>232</v>
      </c>
      <c r="H1187">
        <v>7740.6</v>
      </c>
    </row>
    <row r="1188" spans="1:8">
      <c r="A1188" s="220">
        <v>43466</v>
      </c>
      <c r="B1188" s="220">
        <v>43830</v>
      </c>
      <c r="C1188" s="56" t="s">
        <v>5</v>
      </c>
      <c r="D1188" s="56" t="s">
        <v>9</v>
      </c>
      <c r="E1188" s="56">
        <v>2019</v>
      </c>
      <c r="F1188" s="56">
        <v>498.08</v>
      </c>
      <c r="G1188" t="s">
        <v>232</v>
      </c>
      <c r="H1188">
        <v>648.48</v>
      </c>
    </row>
    <row r="1189" spans="1:8">
      <c r="A1189" s="220">
        <v>43831</v>
      </c>
      <c r="B1189" s="220">
        <v>44196</v>
      </c>
      <c r="C1189" s="56" t="s">
        <v>5</v>
      </c>
      <c r="D1189" s="56" t="s">
        <v>9</v>
      </c>
      <c r="E1189" s="56">
        <v>2020</v>
      </c>
      <c r="F1189" s="56">
        <v>351.76</v>
      </c>
      <c r="G1189" t="s">
        <v>232</v>
      </c>
      <c r="H1189">
        <v>489.48</v>
      </c>
    </row>
    <row r="1190" spans="1:8">
      <c r="A1190" s="220">
        <v>43862</v>
      </c>
      <c r="B1190" s="220">
        <v>44012</v>
      </c>
      <c r="C1190" s="56" t="s">
        <v>5</v>
      </c>
      <c r="D1190" s="56" t="s">
        <v>9</v>
      </c>
      <c r="E1190" s="56">
        <v>2020</v>
      </c>
      <c r="F1190" s="56">
        <v>157.63999999999999</v>
      </c>
      <c r="G1190" t="s">
        <v>232</v>
      </c>
      <c r="H1190">
        <v>219.36</v>
      </c>
    </row>
    <row r="1191" spans="1:8">
      <c r="A1191" s="220">
        <v>43466</v>
      </c>
      <c r="B1191" s="220">
        <v>43830</v>
      </c>
      <c r="C1191" s="56" t="s">
        <v>5</v>
      </c>
      <c r="D1191" s="56" t="s">
        <v>9</v>
      </c>
      <c r="E1191" s="56">
        <v>2019</v>
      </c>
      <c r="F1191" s="56">
        <v>567.85</v>
      </c>
      <c r="G1191" t="s">
        <v>232</v>
      </c>
      <c r="H1191">
        <v>739.31</v>
      </c>
    </row>
    <row r="1192" spans="1:8">
      <c r="A1192" s="220">
        <v>43831</v>
      </c>
      <c r="B1192" s="220">
        <v>44196</v>
      </c>
      <c r="C1192" s="56" t="s">
        <v>5</v>
      </c>
      <c r="D1192" s="56" t="s">
        <v>9</v>
      </c>
      <c r="E1192" s="56">
        <v>2020</v>
      </c>
      <c r="F1192" s="56">
        <v>428.3</v>
      </c>
      <c r="G1192" t="s">
        <v>232</v>
      </c>
      <c r="H1192">
        <v>595.99</v>
      </c>
    </row>
    <row r="1193" spans="1:8">
      <c r="A1193" s="220">
        <v>43770</v>
      </c>
      <c r="B1193" s="220">
        <v>43799</v>
      </c>
      <c r="C1193" s="56" t="s">
        <v>5</v>
      </c>
      <c r="D1193" s="56" t="s">
        <v>9</v>
      </c>
      <c r="E1193" s="56">
        <v>2019</v>
      </c>
      <c r="F1193" s="56">
        <v>41.51</v>
      </c>
      <c r="G1193" t="s">
        <v>232</v>
      </c>
      <c r="H1193">
        <v>54.04</v>
      </c>
    </row>
    <row r="1194" spans="1:8">
      <c r="A1194" s="220">
        <v>43556</v>
      </c>
      <c r="B1194" s="220">
        <v>43799</v>
      </c>
      <c r="C1194" s="56" t="s">
        <v>5</v>
      </c>
      <c r="D1194" s="56" t="s">
        <v>9</v>
      </c>
      <c r="E1194" s="56">
        <v>2019</v>
      </c>
      <c r="F1194" s="56">
        <v>-51.77</v>
      </c>
      <c r="G1194" t="s">
        <v>232</v>
      </c>
      <c r="H1194">
        <v>-67.400000000000006</v>
      </c>
    </row>
    <row r="1195" spans="1:8">
      <c r="A1195" s="220">
        <v>43831</v>
      </c>
      <c r="B1195" s="220">
        <v>44196</v>
      </c>
      <c r="C1195" s="56" t="s">
        <v>5</v>
      </c>
      <c r="D1195" s="56" t="s">
        <v>9</v>
      </c>
      <c r="E1195" s="56">
        <v>2020</v>
      </c>
      <c r="F1195" s="56">
        <v>854.52</v>
      </c>
      <c r="G1195" t="s">
        <v>232</v>
      </c>
      <c r="H1195">
        <v>1189.08</v>
      </c>
    </row>
    <row r="1196" spans="1:8">
      <c r="A1196" s="220">
        <v>43466</v>
      </c>
      <c r="B1196" s="220">
        <v>43585</v>
      </c>
      <c r="C1196" s="56" t="s">
        <v>5</v>
      </c>
      <c r="D1196" s="56" t="s">
        <v>9</v>
      </c>
      <c r="E1196" s="56">
        <v>2019</v>
      </c>
      <c r="F1196" s="56">
        <v>288.45999999999998</v>
      </c>
      <c r="G1196" t="s">
        <v>232</v>
      </c>
      <c r="H1196">
        <v>375.56</v>
      </c>
    </row>
    <row r="1197" spans="1:8">
      <c r="A1197" s="220">
        <v>43466</v>
      </c>
      <c r="B1197" s="220">
        <v>43830</v>
      </c>
      <c r="C1197" s="56" t="s">
        <v>5</v>
      </c>
      <c r="D1197" s="56" t="s">
        <v>9</v>
      </c>
      <c r="E1197" s="56">
        <v>2019</v>
      </c>
      <c r="F1197" s="56">
        <v>726.37</v>
      </c>
      <c r="G1197" t="s">
        <v>232</v>
      </c>
      <c r="H1197">
        <v>945.7</v>
      </c>
    </row>
    <row r="1198" spans="1:8">
      <c r="A1198" s="220">
        <v>43466</v>
      </c>
      <c r="B1198" s="220">
        <v>43830</v>
      </c>
      <c r="C1198" s="56" t="s">
        <v>5</v>
      </c>
      <c r="D1198" s="56" t="s">
        <v>9</v>
      </c>
      <c r="E1198" s="56">
        <v>2019</v>
      </c>
      <c r="F1198" s="56">
        <v>1687.68</v>
      </c>
      <c r="G1198" t="s">
        <v>232</v>
      </c>
      <c r="H1198">
        <v>2197.2800000000002</v>
      </c>
    </row>
    <row r="1199" spans="1:8">
      <c r="A1199" s="220">
        <v>43831</v>
      </c>
      <c r="B1199" s="220">
        <v>44196</v>
      </c>
      <c r="C1199" s="56" t="s">
        <v>5</v>
      </c>
      <c r="D1199" s="56" t="s">
        <v>9</v>
      </c>
      <c r="E1199" s="56">
        <v>2020</v>
      </c>
      <c r="F1199" s="56">
        <v>709.38</v>
      </c>
      <c r="G1199" t="s">
        <v>232</v>
      </c>
      <c r="H1199">
        <v>987.12</v>
      </c>
    </row>
    <row r="1200" spans="1:8">
      <c r="A1200" s="220">
        <v>43831</v>
      </c>
      <c r="B1200" s="220">
        <v>44196</v>
      </c>
      <c r="C1200" s="56" t="s">
        <v>5</v>
      </c>
      <c r="D1200" s="56" t="s">
        <v>9</v>
      </c>
      <c r="E1200" s="56">
        <v>2020</v>
      </c>
      <c r="F1200" s="56">
        <v>351.76</v>
      </c>
      <c r="G1200" t="s">
        <v>232</v>
      </c>
      <c r="H1200">
        <v>489.48</v>
      </c>
    </row>
    <row r="1201" spans="1:8">
      <c r="A1201" s="220">
        <v>43831</v>
      </c>
      <c r="B1201" s="220">
        <v>44196</v>
      </c>
      <c r="C1201" s="56" t="s">
        <v>5</v>
      </c>
      <c r="D1201" s="56" t="s">
        <v>9</v>
      </c>
      <c r="E1201" s="56">
        <v>2020</v>
      </c>
      <c r="F1201" s="56">
        <v>269.3</v>
      </c>
      <c r="G1201" t="s">
        <v>232</v>
      </c>
      <c r="H1201">
        <v>374.74</v>
      </c>
    </row>
    <row r="1202" spans="1:8">
      <c r="A1202" s="220">
        <v>43466</v>
      </c>
      <c r="B1202" s="220">
        <v>43830</v>
      </c>
      <c r="C1202" s="56" t="s">
        <v>5</v>
      </c>
      <c r="D1202" s="56" t="s">
        <v>9</v>
      </c>
      <c r="E1202" s="56">
        <v>2019</v>
      </c>
      <c r="F1202" s="56">
        <v>249.04</v>
      </c>
      <c r="G1202" t="s">
        <v>232</v>
      </c>
      <c r="H1202">
        <v>324.24</v>
      </c>
    </row>
    <row r="1203" spans="1:8">
      <c r="A1203" s="220">
        <v>43831</v>
      </c>
      <c r="B1203" s="220">
        <v>44196</v>
      </c>
      <c r="C1203" s="56" t="s">
        <v>5</v>
      </c>
      <c r="D1203" s="56" t="s">
        <v>9</v>
      </c>
      <c r="E1203" s="56">
        <v>2020</v>
      </c>
      <c r="F1203" s="56">
        <v>351.76</v>
      </c>
      <c r="G1203" t="s">
        <v>232</v>
      </c>
      <c r="H1203">
        <v>489.48</v>
      </c>
    </row>
    <row r="1204" spans="1:8">
      <c r="A1204" s="220">
        <v>43466</v>
      </c>
      <c r="B1204" s="220">
        <v>43830</v>
      </c>
      <c r="C1204" s="56" t="s">
        <v>5</v>
      </c>
      <c r="D1204" s="56" t="s">
        <v>9</v>
      </c>
      <c r="E1204" s="56">
        <v>2019</v>
      </c>
      <c r="F1204" s="56">
        <v>249.04</v>
      </c>
      <c r="G1204" t="s">
        <v>232</v>
      </c>
      <c r="H1204">
        <v>324.24</v>
      </c>
    </row>
    <row r="1205" spans="1:8">
      <c r="A1205" s="220">
        <v>43645</v>
      </c>
      <c r="B1205" s="220">
        <v>43646</v>
      </c>
      <c r="C1205" s="56" t="s">
        <v>5</v>
      </c>
      <c r="D1205" s="56" t="s">
        <v>9</v>
      </c>
      <c r="E1205" s="56">
        <v>2019</v>
      </c>
      <c r="F1205" s="56">
        <v>-210.19</v>
      </c>
      <c r="G1205" t="s">
        <v>232</v>
      </c>
      <c r="H1205">
        <v>-273.66000000000003</v>
      </c>
    </row>
    <row r="1206" spans="1:8">
      <c r="A1206" s="220">
        <v>43466</v>
      </c>
      <c r="B1206" s="220">
        <v>43830</v>
      </c>
      <c r="C1206" s="56" t="s">
        <v>5</v>
      </c>
      <c r="D1206" s="56" t="s">
        <v>9</v>
      </c>
      <c r="E1206" s="56">
        <v>2019</v>
      </c>
      <c r="F1206" s="56">
        <v>1393.09</v>
      </c>
      <c r="G1206" t="s">
        <v>232</v>
      </c>
      <c r="H1206">
        <v>1813.74</v>
      </c>
    </row>
    <row r="1207" spans="1:8">
      <c r="A1207" s="220">
        <v>43831</v>
      </c>
      <c r="B1207" s="220">
        <v>44196</v>
      </c>
      <c r="C1207" s="56" t="s">
        <v>5</v>
      </c>
      <c r="D1207" s="56" t="s">
        <v>9</v>
      </c>
      <c r="E1207" s="56">
        <v>2020</v>
      </c>
      <c r="F1207" s="56">
        <v>236.46</v>
      </c>
      <c r="G1207" t="s">
        <v>232</v>
      </c>
      <c r="H1207">
        <v>329.04</v>
      </c>
    </row>
    <row r="1208" spans="1:8">
      <c r="A1208" s="220">
        <v>43466</v>
      </c>
      <c r="B1208" s="220">
        <v>43830</v>
      </c>
      <c r="C1208" s="56" t="s">
        <v>5</v>
      </c>
      <c r="D1208" s="56" t="s">
        <v>9</v>
      </c>
      <c r="E1208" s="56">
        <v>2019</v>
      </c>
      <c r="F1208" s="56">
        <v>491.81</v>
      </c>
      <c r="G1208" t="s">
        <v>232</v>
      </c>
      <c r="H1208">
        <v>640.32000000000005</v>
      </c>
    </row>
    <row r="1209" spans="1:8">
      <c r="A1209" s="220">
        <v>43466</v>
      </c>
      <c r="B1209" s="220">
        <v>43830</v>
      </c>
      <c r="C1209" s="56" t="s">
        <v>5</v>
      </c>
      <c r="D1209" s="56" t="s">
        <v>9</v>
      </c>
      <c r="E1209" s="56">
        <v>2019</v>
      </c>
      <c r="F1209" s="56">
        <v>1196.82</v>
      </c>
      <c r="G1209" t="s">
        <v>232</v>
      </c>
      <c r="H1209">
        <v>1558.2</v>
      </c>
    </row>
    <row r="1210" spans="1:8">
      <c r="A1210" s="220">
        <v>43497</v>
      </c>
      <c r="B1210" s="220">
        <v>43830</v>
      </c>
      <c r="C1210" s="56" t="s">
        <v>5</v>
      </c>
      <c r="D1210" s="56" t="s">
        <v>9</v>
      </c>
      <c r="E1210" s="56">
        <v>2019</v>
      </c>
      <c r="F1210" s="56">
        <v>368.86</v>
      </c>
      <c r="G1210" t="s">
        <v>232</v>
      </c>
      <c r="H1210">
        <v>480.24</v>
      </c>
    </row>
    <row r="1211" spans="1:8">
      <c r="A1211" s="220">
        <v>43466</v>
      </c>
      <c r="B1211" s="220">
        <v>43830</v>
      </c>
      <c r="C1211" s="56" t="s">
        <v>5</v>
      </c>
      <c r="D1211" s="56" t="s">
        <v>9</v>
      </c>
      <c r="E1211" s="56">
        <v>2019</v>
      </c>
      <c r="F1211" s="56">
        <v>340.08</v>
      </c>
      <c r="G1211" t="s">
        <v>232</v>
      </c>
      <c r="H1211">
        <v>442.77</v>
      </c>
    </row>
    <row r="1212" spans="1:8">
      <c r="A1212" s="220">
        <v>43466</v>
      </c>
      <c r="B1212" s="220">
        <v>43830</v>
      </c>
      <c r="C1212" s="56" t="s">
        <v>5</v>
      </c>
      <c r="D1212" s="56" t="s">
        <v>9</v>
      </c>
      <c r="E1212" s="56">
        <v>2019</v>
      </c>
      <c r="F1212" s="56">
        <v>491.81</v>
      </c>
      <c r="G1212" t="s">
        <v>232</v>
      </c>
      <c r="H1212">
        <v>640.32000000000005</v>
      </c>
    </row>
    <row r="1213" spans="1:8">
      <c r="A1213" s="220">
        <v>43831</v>
      </c>
      <c r="B1213" s="220">
        <v>44196</v>
      </c>
      <c r="C1213" s="56" t="s">
        <v>5</v>
      </c>
      <c r="D1213" s="56" t="s">
        <v>9</v>
      </c>
      <c r="E1213" s="56">
        <v>2020</v>
      </c>
      <c r="F1213" s="56">
        <v>836.6</v>
      </c>
      <c r="G1213" t="s">
        <v>232</v>
      </c>
      <c r="H1213">
        <v>1164.1500000000001</v>
      </c>
    </row>
    <row r="1214" spans="1:8">
      <c r="A1214" s="220">
        <v>43831</v>
      </c>
      <c r="B1214" s="220">
        <v>44196</v>
      </c>
      <c r="C1214" s="56" t="s">
        <v>5</v>
      </c>
      <c r="D1214" s="56" t="s">
        <v>9</v>
      </c>
      <c r="E1214" s="56">
        <v>2020</v>
      </c>
      <c r="F1214" s="56">
        <v>236.46</v>
      </c>
      <c r="G1214" t="s">
        <v>232</v>
      </c>
      <c r="H1214">
        <v>329.04</v>
      </c>
    </row>
    <row r="1215" spans="1:8">
      <c r="A1215" s="220">
        <v>43678</v>
      </c>
      <c r="B1215" s="220">
        <v>43830</v>
      </c>
      <c r="C1215" s="56" t="s">
        <v>5</v>
      </c>
      <c r="D1215" s="56" t="s">
        <v>9</v>
      </c>
      <c r="E1215" s="56">
        <v>2019</v>
      </c>
      <c r="F1215" s="56">
        <v>103.77</v>
      </c>
      <c r="G1215" t="s">
        <v>232</v>
      </c>
      <c r="H1215">
        <v>135.1</v>
      </c>
    </row>
    <row r="1216" spans="1:8">
      <c r="A1216" s="220">
        <v>43709</v>
      </c>
      <c r="B1216" s="220">
        <v>43738</v>
      </c>
      <c r="C1216" s="56" t="s">
        <v>5</v>
      </c>
      <c r="D1216" s="56" t="s">
        <v>9</v>
      </c>
      <c r="E1216" s="56">
        <v>2019</v>
      </c>
      <c r="F1216" s="56">
        <v>-6.3</v>
      </c>
      <c r="G1216" t="s">
        <v>232</v>
      </c>
      <c r="H1216">
        <v>-8.1999999999999993</v>
      </c>
    </row>
    <row r="1217" spans="1:8">
      <c r="A1217" s="220">
        <v>43466</v>
      </c>
      <c r="B1217" s="220">
        <v>43799</v>
      </c>
      <c r="C1217" s="56" t="s">
        <v>5</v>
      </c>
      <c r="D1217" s="56" t="s">
        <v>9</v>
      </c>
      <c r="E1217" s="56">
        <v>2019</v>
      </c>
      <c r="F1217" s="56">
        <v>174.62</v>
      </c>
      <c r="G1217" t="s">
        <v>232</v>
      </c>
      <c r="H1217">
        <v>227.35</v>
      </c>
    </row>
    <row r="1218" spans="1:8">
      <c r="A1218" s="220">
        <v>43770</v>
      </c>
      <c r="B1218" s="220">
        <v>43799</v>
      </c>
      <c r="C1218" s="56" t="s">
        <v>5</v>
      </c>
      <c r="D1218" s="56" t="s">
        <v>9</v>
      </c>
      <c r="E1218" s="56">
        <v>2019</v>
      </c>
      <c r="F1218" s="56">
        <v>-83.01</v>
      </c>
      <c r="G1218" t="s">
        <v>232</v>
      </c>
      <c r="H1218">
        <v>-108.08</v>
      </c>
    </row>
    <row r="1219" spans="1:8">
      <c r="A1219" s="220">
        <v>44077</v>
      </c>
      <c r="B1219" s="220">
        <v>44196</v>
      </c>
      <c r="C1219" s="56" t="s">
        <v>5</v>
      </c>
      <c r="D1219" s="56" t="s">
        <v>9</v>
      </c>
      <c r="E1219" s="56">
        <v>2020</v>
      </c>
      <c r="F1219" s="56">
        <v>94.18</v>
      </c>
      <c r="G1219" t="s">
        <v>232</v>
      </c>
      <c r="H1219">
        <v>131.06</v>
      </c>
    </row>
    <row r="1220" spans="1:8">
      <c r="A1220" s="220">
        <v>43831</v>
      </c>
      <c r="B1220" s="220">
        <v>44196</v>
      </c>
      <c r="C1220" s="56" t="s">
        <v>5</v>
      </c>
      <c r="D1220" s="56" t="s">
        <v>9</v>
      </c>
      <c r="E1220" s="56">
        <v>2020</v>
      </c>
      <c r="F1220" s="56">
        <v>934.11</v>
      </c>
      <c r="G1220" t="s">
        <v>232</v>
      </c>
      <c r="H1220">
        <v>1299.8399999999999</v>
      </c>
    </row>
    <row r="1221" spans="1:8">
      <c r="A1221" s="220">
        <v>43466</v>
      </c>
      <c r="B1221" s="220">
        <v>43830</v>
      </c>
      <c r="C1221" s="56" t="s">
        <v>5</v>
      </c>
      <c r="D1221" s="56" t="s">
        <v>9</v>
      </c>
      <c r="E1221" s="56">
        <v>2019</v>
      </c>
      <c r="F1221" s="56">
        <v>249.04</v>
      </c>
      <c r="G1221" t="s">
        <v>232</v>
      </c>
      <c r="H1221">
        <v>324.24</v>
      </c>
    </row>
    <row r="1222" spans="1:8">
      <c r="A1222" s="220">
        <v>43466</v>
      </c>
      <c r="B1222" s="220">
        <v>43830</v>
      </c>
      <c r="C1222" s="56" t="s">
        <v>5</v>
      </c>
      <c r="D1222" s="56" t="s">
        <v>9</v>
      </c>
      <c r="E1222" s="56">
        <v>2019</v>
      </c>
      <c r="F1222" s="56">
        <v>249.04</v>
      </c>
      <c r="G1222" t="s">
        <v>232</v>
      </c>
      <c r="H1222">
        <v>324.24</v>
      </c>
    </row>
    <row r="1223" spans="1:8">
      <c r="A1223" s="220">
        <v>44013</v>
      </c>
      <c r="B1223" s="220">
        <v>44196</v>
      </c>
      <c r="C1223" s="56" t="s">
        <v>5</v>
      </c>
      <c r="D1223" s="56" t="s">
        <v>9</v>
      </c>
      <c r="E1223" s="56">
        <v>2020</v>
      </c>
      <c r="F1223" s="56">
        <v>233.53</v>
      </c>
      <c r="G1223" t="s">
        <v>232</v>
      </c>
      <c r="H1223">
        <v>324.95999999999998</v>
      </c>
    </row>
    <row r="1224" spans="1:8">
      <c r="A1224" s="220">
        <v>43466</v>
      </c>
      <c r="B1224" s="220">
        <v>43830</v>
      </c>
      <c r="C1224" s="56" t="s">
        <v>5</v>
      </c>
      <c r="D1224" s="56" t="s">
        <v>9</v>
      </c>
      <c r="E1224" s="56">
        <v>2019</v>
      </c>
      <c r="F1224" s="56">
        <v>249.04</v>
      </c>
      <c r="G1224" t="s">
        <v>232</v>
      </c>
      <c r="H1224">
        <v>324.24</v>
      </c>
    </row>
    <row r="1225" spans="1:8">
      <c r="A1225" s="220">
        <v>43466</v>
      </c>
      <c r="B1225" s="220">
        <v>43830</v>
      </c>
      <c r="C1225" s="56" t="s">
        <v>5</v>
      </c>
      <c r="D1225" s="56" t="s">
        <v>9</v>
      </c>
      <c r="E1225" s="56">
        <v>2019</v>
      </c>
      <c r="F1225" s="56">
        <v>249.04</v>
      </c>
      <c r="G1225" t="s">
        <v>232</v>
      </c>
      <c r="H1225">
        <v>324.24</v>
      </c>
    </row>
    <row r="1226" spans="1:8">
      <c r="A1226" s="220">
        <v>43831</v>
      </c>
      <c r="B1226" s="220">
        <v>44196</v>
      </c>
      <c r="C1226" s="56" t="s">
        <v>5</v>
      </c>
      <c r="D1226" s="56" t="s">
        <v>9</v>
      </c>
      <c r="E1226" s="56">
        <v>2020</v>
      </c>
      <c r="F1226" s="56">
        <v>467.06</v>
      </c>
      <c r="G1226" t="s">
        <v>232</v>
      </c>
      <c r="H1226">
        <v>649.91999999999996</v>
      </c>
    </row>
    <row r="1227" spans="1:8">
      <c r="A1227" s="220">
        <v>43800</v>
      </c>
      <c r="B1227" s="220">
        <v>43830</v>
      </c>
      <c r="C1227" s="56" t="s">
        <v>5</v>
      </c>
      <c r="D1227" s="56" t="s">
        <v>9</v>
      </c>
      <c r="E1227" s="56">
        <v>2019</v>
      </c>
      <c r="F1227" s="56">
        <v>41.81</v>
      </c>
      <c r="G1227" t="s">
        <v>232</v>
      </c>
      <c r="H1227">
        <v>54.44</v>
      </c>
    </row>
    <row r="1228" spans="1:8">
      <c r="A1228" s="220">
        <v>43466</v>
      </c>
      <c r="B1228" s="220">
        <v>43830</v>
      </c>
      <c r="C1228" s="56" t="s">
        <v>5</v>
      </c>
      <c r="D1228" s="56" t="s">
        <v>9</v>
      </c>
      <c r="E1228" s="56">
        <v>2019</v>
      </c>
      <c r="F1228" s="56">
        <v>228.29</v>
      </c>
      <c r="G1228" t="s">
        <v>232</v>
      </c>
      <c r="H1228">
        <v>297.22000000000003</v>
      </c>
    </row>
    <row r="1229" spans="1:8">
      <c r="A1229" s="220">
        <v>43466</v>
      </c>
      <c r="B1229" s="220">
        <v>43830</v>
      </c>
      <c r="C1229" s="56" t="s">
        <v>5</v>
      </c>
      <c r="D1229" s="56" t="s">
        <v>9</v>
      </c>
      <c r="E1229" s="56">
        <v>2019</v>
      </c>
      <c r="F1229" s="56">
        <v>249.04</v>
      </c>
      <c r="G1229" t="s">
        <v>232</v>
      </c>
      <c r="H1229">
        <v>324.24</v>
      </c>
    </row>
    <row r="1230" spans="1:8">
      <c r="A1230" s="220">
        <v>43831</v>
      </c>
      <c r="B1230" s="220">
        <v>43861</v>
      </c>
      <c r="C1230" s="56" t="s">
        <v>5</v>
      </c>
      <c r="D1230" s="56" t="s">
        <v>9</v>
      </c>
      <c r="E1230" s="56">
        <v>2020</v>
      </c>
      <c r="F1230" s="56">
        <v>19.71</v>
      </c>
      <c r="G1230" t="s">
        <v>232</v>
      </c>
      <c r="H1230">
        <v>27.42</v>
      </c>
    </row>
    <row r="1231" spans="1:8">
      <c r="A1231" s="220">
        <v>43831</v>
      </c>
      <c r="B1231" s="220">
        <v>44196</v>
      </c>
      <c r="C1231" s="56" t="s">
        <v>5</v>
      </c>
      <c r="D1231" s="56" t="s">
        <v>9</v>
      </c>
      <c r="E1231" s="56">
        <v>2020</v>
      </c>
      <c r="F1231" s="56">
        <v>467.06</v>
      </c>
      <c r="G1231" t="s">
        <v>232</v>
      </c>
      <c r="H1231">
        <v>649.91999999999996</v>
      </c>
    </row>
    <row r="1232" spans="1:8">
      <c r="A1232" s="220">
        <v>43831</v>
      </c>
      <c r="B1232" s="220">
        <v>44196</v>
      </c>
      <c r="C1232" s="56" t="s">
        <v>5</v>
      </c>
      <c r="D1232" s="56" t="s">
        <v>9</v>
      </c>
      <c r="E1232" s="56">
        <v>2020</v>
      </c>
      <c r="F1232" s="56">
        <v>203.95</v>
      </c>
      <c r="G1232" t="s">
        <v>232</v>
      </c>
      <c r="H1232">
        <v>283.8</v>
      </c>
    </row>
    <row r="1233" spans="1:8">
      <c r="A1233" s="220">
        <v>43466</v>
      </c>
      <c r="B1233" s="220">
        <v>43830</v>
      </c>
      <c r="C1233" s="56" t="s">
        <v>5</v>
      </c>
      <c r="D1233" s="56" t="s">
        <v>9</v>
      </c>
      <c r="E1233" s="56">
        <v>2019</v>
      </c>
      <c r="F1233" s="56">
        <v>289.5</v>
      </c>
      <c r="G1233" t="s">
        <v>232</v>
      </c>
      <c r="H1233">
        <v>376.92</v>
      </c>
    </row>
    <row r="1234" spans="1:8">
      <c r="A1234" s="220">
        <v>43678</v>
      </c>
      <c r="B1234" s="220">
        <v>43830</v>
      </c>
      <c r="C1234" s="56" t="s">
        <v>5</v>
      </c>
      <c r="D1234" s="56" t="s">
        <v>9</v>
      </c>
      <c r="E1234" s="56">
        <v>2019</v>
      </c>
      <c r="F1234" s="56">
        <v>154.34</v>
      </c>
      <c r="G1234" t="s">
        <v>232</v>
      </c>
      <c r="H1234">
        <v>200.95</v>
      </c>
    </row>
    <row r="1235" spans="1:8">
      <c r="A1235" s="220">
        <v>43466</v>
      </c>
      <c r="B1235" s="220">
        <v>43769</v>
      </c>
      <c r="C1235" s="56" t="s">
        <v>5</v>
      </c>
      <c r="D1235" s="56" t="s">
        <v>9</v>
      </c>
      <c r="E1235" s="56">
        <v>2019</v>
      </c>
      <c r="F1235" s="56">
        <v>41.51</v>
      </c>
      <c r="G1235" t="s">
        <v>232</v>
      </c>
      <c r="H1235">
        <v>54.04</v>
      </c>
    </row>
    <row r="1236" spans="1:8">
      <c r="A1236" s="220">
        <v>43831</v>
      </c>
      <c r="B1236" s="220">
        <v>44196</v>
      </c>
      <c r="C1236" s="56" t="s">
        <v>5</v>
      </c>
      <c r="D1236" s="56" t="s">
        <v>9</v>
      </c>
      <c r="E1236" s="56">
        <v>2020</v>
      </c>
      <c r="F1236" s="56">
        <v>236.46</v>
      </c>
      <c r="G1236" t="s">
        <v>232</v>
      </c>
      <c r="H1236">
        <v>329.04</v>
      </c>
    </row>
    <row r="1237" spans="1:8">
      <c r="A1237" s="220">
        <v>43831</v>
      </c>
      <c r="B1237" s="220">
        <v>43921</v>
      </c>
      <c r="C1237" s="56" t="s">
        <v>5</v>
      </c>
      <c r="D1237" s="56" t="s">
        <v>9</v>
      </c>
      <c r="E1237" s="56">
        <v>2020</v>
      </c>
      <c r="F1237" s="56">
        <v>59.12</v>
      </c>
      <c r="G1237" t="s">
        <v>232</v>
      </c>
      <c r="H1237">
        <v>82.26</v>
      </c>
    </row>
    <row r="1238" spans="1:8">
      <c r="A1238" s="220">
        <v>43466</v>
      </c>
      <c r="B1238" s="220">
        <v>43769</v>
      </c>
      <c r="C1238" s="56" t="s">
        <v>5</v>
      </c>
      <c r="D1238" s="56" t="s">
        <v>9</v>
      </c>
      <c r="E1238" s="56">
        <v>2019</v>
      </c>
      <c r="F1238" s="56">
        <v>249.04</v>
      </c>
      <c r="G1238" t="s">
        <v>232</v>
      </c>
      <c r="H1238">
        <v>324.24</v>
      </c>
    </row>
    <row r="1239" spans="1:8">
      <c r="A1239" s="220">
        <v>43656</v>
      </c>
      <c r="B1239" s="220">
        <v>43677</v>
      </c>
      <c r="C1239" s="56" t="s">
        <v>5</v>
      </c>
      <c r="D1239" s="56" t="s">
        <v>9</v>
      </c>
      <c r="E1239" s="56">
        <v>2019</v>
      </c>
      <c r="F1239" s="56">
        <v>-566.4</v>
      </c>
      <c r="G1239" t="s">
        <v>232</v>
      </c>
      <c r="H1239">
        <v>-737.43</v>
      </c>
    </row>
    <row r="1240" spans="1:8">
      <c r="A1240" s="220">
        <v>43831</v>
      </c>
      <c r="B1240" s="220">
        <v>44196</v>
      </c>
      <c r="C1240" s="56" t="s">
        <v>5</v>
      </c>
      <c r="D1240" s="56" t="s">
        <v>9</v>
      </c>
      <c r="E1240" s="56">
        <v>2020</v>
      </c>
      <c r="F1240" s="56">
        <v>236.46</v>
      </c>
      <c r="G1240" t="s">
        <v>232</v>
      </c>
      <c r="H1240">
        <v>329.04</v>
      </c>
    </row>
    <row r="1241" spans="1:8">
      <c r="A1241" s="220">
        <v>43831</v>
      </c>
      <c r="B1241" s="220">
        <v>44012</v>
      </c>
      <c r="C1241" s="56" t="s">
        <v>5</v>
      </c>
      <c r="D1241" s="56" t="s">
        <v>9</v>
      </c>
      <c r="E1241" s="56">
        <v>2020</v>
      </c>
      <c r="F1241" s="56">
        <v>26.75</v>
      </c>
      <c r="G1241" t="s">
        <v>232</v>
      </c>
      <c r="H1241">
        <v>37.22</v>
      </c>
    </row>
    <row r="1242" spans="1:8">
      <c r="A1242" s="220">
        <v>43831</v>
      </c>
      <c r="B1242" s="220">
        <v>44196</v>
      </c>
      <c r="C1242" s="56" t="s">
        <v>5</v>
      </c>
      <c r="D1242" s="56" t="s">
        <v>9</v>
      </c>
      <c r="E1242" s="56">
        <v>2020</v>
      </c>
      <c r="F1242" s="56">
        <v>472.92</v>
      </c>
      <c r="G1242" t="s">
        <v>232</v>
      </c>
      <c r="H1242">
        <v>658.08</v>
      </c>
    </row>
    <row r="1243" spans="1:8">
      <c r="A1243" s="220">
        <v>43809</v>
      </c>
      <c r="B1243" s="220">
        <v>43830</v>
      </c>
      <c r="C1243" s="56" t="s">
        <v>5</v>
      </c>
      <c r="D1243" s="56" t="s">
        <v>9</v>
      </c>
      <c r="E1243" s="56">
        <v>2019</v>
      </c>
      <c r="F1243" s="56">
        <v>57.34</v>
      </c>
      <c r="G1243" t="s">
        <v>232</v>
      </c>
      <c r="H1243">
        <v>74.650000000000006</v>
      </c>
    </row>
    <row r="1244" spans="1:8">
      <c r="A1244" s="220">
        <v>43831</v>
      </c>
      <c r="B1244" s="220">
        <v>44196</v>
      </c>
      <c r="C1244" s="56" t="s">
        <v>5</v>
      </c>
      <c r="D1244" s="56" t="s">
        <v>9</v>
      </c>
      <c r="E1244" s="56">
        <v>2020</v>
      </c>
      <c r="F1244" s="56">
        <v>351.76</v>
      </c>
      <c r="G1244" t="s">
        <v>232</v>
      </c>
      <c r="H1244">
        <v>489.48</v>
      </c>
    </row>
    <row r="1245" spans="1:8">
      <c r="A1245" s="220">
        <v>43831</v>
      </c>
      <c r="B1245" s="220">
        <v>43951</v>
      </c>
      <c r="C1245" s="56" t="s">
        <v>5</v>
      </c>
      <c r="D1245" s="56" t="s">
        <v>9</v>
      </c>
      <c r="E1245" s="56">
        <v>2020</v>
      </c>
      <c r="F1245" s="56">
        <v>48.53</v>
      </c>
      <c r="G1245" t="s">
        <v>232</v>
      </c>
      <c r="H1245">
        <v>67.53</v>
      </c>
    </row>
    <row r="1246" spans="1:8">
      <c r="A1246" s="220">
        <v>43831</v>
      </c>
      <c r="B1246" s="220">
        <v>43861</v>
      </c>
      <c r="C1246" s="56" t="s">
        <v>5</v>
      </c>
      <c r="D1246" s="56" t="s">
        <v>9</v>
      </c>
      <c r="E1246" s="56">
        <v>2020</v>
      </c>
      <c r="F1246" s="56">
        <v>19.71</v>
      </c>
      <c r="G1246" t="s">
        <v>232</v>
      </c>
      <c r="H1246">
        <v>27.42</v>
      </c>
    </row>
    <row r="1247" spans="1:8">
      <c r="A1247" s="220">
        <v>43831</v>
      </c>
      <c r="B1247" s="220">
        <v>44196</v>
      </c>
      <c r="C1247" s="56" t="s">
        <v>5</v>
      </c>
      <c r="D1247" s="56" t="s">
        <v>9</v>
      </c>
      <c r="E1247" s="56">
        <v>2020</v>
      </c>
      <c r="F1247" s="56">
        <v>472.92</v>
      </c>
      <c r="G1247" t="s">
        <v>232</v>
      </c>
      <c r="H1247">
        <v>658.08</v>
      </c>
    </row>
    <row r="1248" spans="1:8">
      <c r="A1248" s="220">
        <v>43831</v>
      </c>
      <c r="B1248" s="220">
        <v>44135</v>
      </c>
      <c r="C1248" s="56" t="s">
        <v>5</v>
      </c>
      <c r="D1248" s="56" t="s">
        <v>9</v>
      </c>
      <c r="E1248" s="56">
        <v>2020</v>
      </c>
      <c r="F1248" s="56">
        <v>334.99</v>
      </c>
      <c r="G1248" t="s">
        <v>232</v>
      </c>
      <c r="H1248">
        <v>466.14</v>
      </c>
    </row>
    <row r="1249" spans="1:8">
      <c r="A1249" s="220">
        <v>43678</v>
      </c>
      <c r="B1249" s="220">
        <v>43738</v>
      </c>
      <c r="C1249" s="56" t="s">
        <v>5</v>
      </c>
      <c r="D1249" s="56" t="s">
        <v>9</v>
      </c>
      <c r="E1249" s="56">
        <v>2019</v>
      </c>
      <c r="F1249" s="56">
        <v>81.97</v>
      </c>
      <c r="G1249" t="s">
        <v>232</v>
      </c>
      <c r="H1249">
        <v>106.72</v>
      </c>
    </row>
    <row r="1250" spans="1:8">
      <c r="A1250" s="220">
        <v>43525</v>
      </c>
      <c r="B1250" s="220">
        <v>43830</v>
      </c>
      <c r="C1250" s="56" t="s">
        <v>5</v>
      </c>
      <c r="D1250" s="56" t="s">
        <v>9</v>
      </c>
      <c r="E1250" s="56">
        <v>2019</v>
      </c>
      <c r="F1250" s="56">
        <v>479.03</v>
      </c>
      <c r="G1250" t="s">
        <v>232</v>
      </c>
      <c r="H1250">
        <v>623.67999999999995</v>
      </c>
    </row>
    <row r="1251" spans="1:8">
      <c r="A1251" s="220">
        <v>43466</v>
      </c>
      <c r="B1251" s="220">
        <v>43830</v>
      </c>
      <c r="C1251" s="56" t="s">
        <v>5</v>
      </c>
      <c r="D1251" s="56" t="s">
        <v>9</v>
      </c>
      <c r="E1251" s="56">
        <v>2019</v>
      </c>
      <c r="F1251" s="56">
        <v>306.45</v>
      </c>
      <c r="G1251" t="s">
        <v>232</v>
      </c>
      <c r="H1251">
        <v>398.98</v>
      </c>
    </row>
    <row r="1252" spans="1:8">
      <c r="A1252" s="220">
        <v>43952</v>
      </c>
      <c r="B1252" s="220">
        <v>44165</v>
      </c>
      <c r="C1252" s="56" t="s">
        <v>5</v>
      </c>
      <c r="D1252" s="56" t="s">
        <v>9</v>
      </c>
      <c r="E1252" s="56">
        <v>2020</v>
      </c>
      <c r="F1252" s="56">
        <v>98.53</v>
      </c>
      <c r="G1252" t="s">
        <v>232</v>
      </c>
      <c r="H1252">
        <v>137.1</v>
      </c>
    </row>
    <row r="1253" spans="1:8">
      <c r="A1253" s="220">
        <v>43831</v>
      </c>
      <c r="B1253" s="220">
        <v>44196</v>
      </c>
      <c r="C1253" s="56" t="s">
        <v>5</v>
      </c>
      <c r="D1253" s="56" t="s">
        <v>9</v>
      </c>
      <c r="E1253" s="56">
        <v>2020</v>
      </c>
      <c r="F1253" s="56">
        <v>351.76</v>
      </c>
      <c r="G1253" t="s">
        <v>232</v>
      </c>
      <c r="H1253">
        <v>489.48</v>
      </c>
    </row>
    <row r="1254" spans="1:8">
      <c r="A1254" s="220">
        <v>43862</v>
      </c>
      <c r="B1254" s="220">
        <v>44196</v>
      </c>
      <c r="C1254" s="56" t="s">
        <v>5</v>
      </c>
      <c r="D1254" s="56" t="s">
        <v>9</v>
      </c>
      <c r="E1254" s="56">
        <v>2020</v>
      </c>
      <c r="F1254" s="56">
        <v>624.34</v>
      </c>
      <c r="G1254" t="s">
        <v>232</v>
      </c>
      <c r="H1254">
        <v>868.78</v>
      </c>
    </row>
    <row r="1255" spans="1:8">
      <c r="A1255" s="220">
        <v>43831</v>
      </c>
      <c r="B1255" s="220">
        <v>44196</v>
      </c>
      <c r="C1255" s="56" t="s">
        <v>5</v>
      </c>
      <c r="D1255" s="56" t="s">
        <v>9</v>
      </c>
      <c r="E1255" s="56">
        <v>2020</v>
      </c>
      <c r="F1255" s="56">
        <v>236.46</v>
      </c>
      <c r="G1255" t="s">
        <v>232</v>
      </c>
      <c r="H1255">
        <v>329.04</v>
      </c>
    </row>
    <row r="1256" spans="1:8">
      <c r="A1256" s="220">
        <v>43831</v>
      </c>
      <c r="B1256" s="220">
        <v>44196</v>
      </c>
      <c r="C1256" s="56" t="s">
        <v>5</v>
      </c>
      <c r="D1256" s="56" t="s">
        <v>9</v>
      </c>
      <c r="E1256" s="56">
        <v>2020</v>
      </c>
      <c r="F1256" s="56">
        <v>342.15</v>
      </c>
      <c r="G1256" t="s">
        <v>232</v>
      </c>
      <c r="H1256">
        <v>476.11</v>
      </c>
    </row>
    <row r="1257" spans="1:8">
      <c r="A1257" s="220">
        <v>43831</v>
      </c>
      <c r="B1257" s="220">
        <v>44196</v>
      </c>
      <c r="C1257" s="56" t="s">
        <v>5</v>
      </c>
      <c r="D1257" s="56" t="s">
        <v>9</v>
      </c>
      <c r="E1257" s="56">
        <v>2020</v>
      </c>
      <c r="F1257" s="56">
        <v>236.46</v>
      </c>
      <c r="G1257" t="s">
        <v>232</v>
      </c>
      <c r="H1257">
        <v>329.04</v>
      </c>
    </row>
    <row r="1258" spans="1:8">
      <c r="A1258" s="220">
        <v>43466</v>
      </c>
      <c r="B1258" s="220">
        <v>43830</v>
      </c>
      <c r="C1258" s="56" t="s">
        <v>5</v>
      </c>
      <c r="D1258" s="56" t="s">
        <v>9</v>
      </c>
      <c r="E1258" s="56">
        <v>2019</v>
      </c>
      <c r="F1258" s="56">
        <v>791.55</v>
      </c>
      <c r="G1258" t="s">
        <v>232</v>
      </c>
      <c r="H1258">
        <v>1030.56</v>
      </c>
    </row>
    <row r="1259" spans="1:8">
      <c r="A1259" s="220">
        <v>43831</v>
      </c>
      <c r="B1259" s="220">
        <v>44196</v>
      </c>
      <c r="C1259" s="56" t="s">
        <v>5</v>
      </c>
      <c r="D1259" s="56" t="s">
        <v>9</v>
      </c>
      <c r="E1259" s="56">
        <v>2020</v>
      </c>
      <c r="F1259" s="56">
        <v>703.52</v>
      </c>
      <c r="G1259" t="s">
        <v>232</v>
      </c>
      <c r="H1259">
        <v>978.96</v>
      </c>
    </row>
    <row r="1260" spans="1:8">
      <c r="A1260" s="220">
        <v>43739</v>
      </c>
      <c r="B1260" s="220">
        <v>43769</v>
      </c>
      <c r="C1260" s="56" t="s">
        <v>5</v>
      </c>
      <c r="D1260" s="56" t="s">
        <v>9</v>
      </c>
      <c r="E1260" s="56">
        <v>2019</v>
      </c>
      <c r="F1260" s="56">
        <v>53.69</v>
      </c>
      <c r="G1260" t="s">
        <v>232</v>
      </c>
      <c r="H1260">
        <v>69.900000000000006</v>
      </c>
    </row>
    <row r="1261" spans="1:8">
      <c r="A1261" s="220">
        <v>43466</v>
      </c>
      <c r="B1261" s="220">
        <v>43830</v>
      </c>
      <c r="C1261" s="56" t="s">
        <v>5</v>
      </c>
      <c r="D1261" s="56" t="s">
        <v>9</v>
      </c>
      <c r="E1261" s="56">
        <v>2019</v>
      </c>
      <c r="F1261" s="56">
        <v>370.43</v>
      </c>
      <c r="G1261" t="s">
        <v>232</v>
      </c>
      <c r="H1261">
        <v>482.28</v>
      </c>
    </row>
    <row r="1262" spans="1:8">
      <c r="A1262" s="220">
        <v>43827</v>
      </c>
      <c r="B1262" s="220">
        <v>43830</v>
      </c>
      <c r="C1262" s="56" t="s">
        <v>5</v>
      </c>
      <c r="D1262" s="56" t="s">
        <v>9</v>
      </c>
      <c r="E1262" s="56">
        <v>2019</v>
      </c>
      <c r="F1262" s="56">
        <v>-170.56</v>
      </c>
      <c r="G1262" t="s">
        <v>232</v>
      </c>
      <c r="H1262">
        <v>-222.06</v>
      </c>
    </row>
    <row r="1263" spans="1:8">
      <c r="A1263" s="220">
        <v>43831</v>
      </c>
      <c r="B1263" s="220">
        <v>44196</v>
      </c>
      <c r="C1263" s="56" t="s">
        <v>5</v>
      </c>
      <c r="D1263" s="56" t="s">
        <v>9</v>
      </c>
      <c r="E1263" s="56">
        <v>2020</v>
      </c>
      <c r="F1263" s="56">
        <v>472.92</v>
      </c>
      <c r="G1263" t="s">
        <v>232</v>
      </c>
      <c r="H1263">
        <v>658.08</v>
      </c>
    </row>
    <row r="1264" spans="1:8">
      <c r="A1264" s="220">
        <v>43831</v>
      </c>
      <c r="B1264" s="220">
        <v>44196</v>
      </c>
      <c r="C1264" s="56" t="s">
        <v>5</v>
      </c>
      <c r="D1264" s="56" t="s">
        <v>9</v>
      </c>
      <c r="E1264" s="56">
        <v>2020</v>
      </c>
      <c r="F1264" s="56">
        <v>236.46</v>
      </c>
      <c r="G1264" t="s">
        <v>232</v>
      </c>
      <c r="H1264">
        <v>329.04</v>
      </c>
    </row>
    <row r="1265" spans="1:8">
      <c r="A1265" s="220">
        <v>43466</v>
      </c>
      <c r="B1265" s="220">
        <v>43830</v>
      </c>
      <c r="C1265" s="56" t="s">
        <v>5</v>
      </c>
      <c r="D1265" s="56" t="s">
        <v>9</v>
      </c>
      <c r="E1265" s="56">
        <v>2019</v>
      </c>
      <c r="F1265" s="56">
        <v>747.12</v>
      </c>
      <c r="G1265" t="s">
        <v>232</v>
      </c>
      <c r="H1265">
        <v>972.72</v>
      </c>
    </row>
    <row r="1266" spans="1:8">
      <c r="A1266" s="220">
        <v>43983</v>
      </c>
      <c r="B1266" s="220">
        <v>44196</v>
      </c>
      <c r="C1266" s="56" t="s">
        <v>5</v>
      </c>
      <c r="D1266" s="56" t="s">
        <v>9</v>
      </c>
      <c r="E1266" s="56">
        <v>2020</v>
      </c>
      <c r="F1266" s="56">
        <v>205.19</v>
      </c>
      <c r="G1266" t="s">
        <v>232</v>
      </c>
      <c r="H1266">
        <v>285.52999999999997</v>
      </c>
    </row>
    <row r="1267" spans="1:8">
      <c r="A1267" s="220">
        <v>43739</v>
      </c>
      <c r="B1267" s="220">
        <v>43830</v>
      </c>
      <c r="C1267" s="56" t="s">
        <v>5</v>
      </c>
      <c r="D1267" s="56" t="s">
        <v>9</v>
      </c>
      <c r="E1267" s="56">
        <v>2019</v>
      </c>
      <c r="F1267" s="56">
        <v>247.87</v>
      </c>
      <c r="G1267" t="s">
        <v>232</v>
      </c>
      <c r="H1267">
        <v>322.72000000000003</v>
      </c>
    </row>
    <row r="1268" spans="1:8">
      <c r="A1268" s="220">
        <v>43466</v>
      </c>
      <c r="B1268" s="220">
        <v>43830</v>
      </c>
      <c r="C1268" s="56" t="s">
        <v>5</v>
      </c>
      <c r="D1268" s="56" t="s">
        <v>9</v>
      </c>
      <c r="E1268" s="56">
        <v>2019</v>
      </c>
      <c r="F1268" s="56">
        <v>392.92</v>
      </c>
      <c r="G1268" t="s">
        <v>232</v>
      </c>
      <c r="H1268">
        <v>511.57</v>
      </c>
    </row>
    <row r="1269" spans="1:8">
      <c r="A1269" s="220">
        <v>43466</v>
      </c>
      <c r="B1269" s="220">
        <v>43830</v>
      </c>
      <c r="C1269" s="56" t="s">
        <v>5</v>
      </c>
      <c r="D1269" s="56" t="s">
        <v>9</v>
      </c>
      <c r="E1269" s="56">
        <v>2019</v>
      </c>
      <c r="F1269" s="56">
        <v>249.04</v>
      </c>
      <c r="G1269" t="s">
        <v>232</v>
      </c>
      <c r="H1269">
        <v>324.24</v>
      </c>
    </row>
    <row r="1270" spans="1:8">
      <c r="A1270" s="220">
        <v>43831</v>
      </c>
      <c r="B1270" s="220">
        <v>44196</v>
      </c>
      <c r="C1270" s="56" t="s">
        <v>5</v>
      </c>
      <c r="D1270" s="56" t="s">
        <v>9</v>
      </c>
      <c r="E1270" s="56">
        <v>2020</v>
      </c>
      <c r="F1270" s="56">
        <v>236.46</v>
      </c>
      <c r="G1270" t="s">
        <v>232</v>
      </c>
      <c r="H1270">
        <v>329.04</v>
      </c>
    </row>
    <row r="1271" spans="1:8">
      <c r="A1271" s="220">
        <v>43466</v>
      </c>
      <c r="B1271" s="220">
        <v>43830</v>
      </c>
      <c r="C1271" s="56" t="s">
        <v>5</v>
      </c>
      <c r="D1271" s="56" t="s">
        <v>9</v>
      </c>
      <c r="E1271" s="56">
        <v>2019</v>
      </c>
      <c r="F1271" s="56">
        <v>595.58000000000004</v>
      </c>
      <c r="G1271" t="s">
        <v>232</v>
      </c>
      <c r="H1271">
        <v>775.42</v>
      </c>
    </row>
    <row r="1272" spans="1:8">
      <c r="A1272" s="220">
        <v>43466</v>
      </c>
      <c r="B1272" s="220">
        <v>43769</v>
      </c>
      <c r="C1272" s="56" t="s">
        <v>5</v>
      </c>
      <c r="D1272" s="56" t="s">
        <v>9</v>
      </c>
      <c r="E1272" s="56">
        <v>2019</v>
      </c>
      <c r="F1272" s="56">
        <v>-294.55</v>
      </c>
      <c r="G1272" t="s">
        <v>232</v>
      </c>
      <c r="H1272">
        <v>-383.49</v>
      </c>
    </row>
    <row r="1273" spans="1:8">
      <c r="A1273" s="220">
        <v>43831</v>
      </c>
      <c r="B1273" s="220">
        <v>44196</v>
      </c>
      <c r="C1273" s="56" t="s">
        <v>5</v>
      </c>
      <c r="D1273" s="56" t="s">
        <v>9</v>
      </c>
      <c r="E1273" s="56">
        <v>2020</v>
      </c>
      <c r="F1273" s="56">
        <v>920.75</v>
      </c>
      <c r="G1273" t="s">
        <v>232</v>
      </c>
      <c r="H1273">
        <v>1281.24</v>
      </c>
    </row>
    <row r="1274" spans="1:8">
      <c r="A1274" s="220">
        <v>43831</v>
      </c>
      <c r="B1274" s="220">
        <v>44196</v>
      </c>
      <c r="C1274" s="56" t="s">
        <v>5</v>
      </c>
      <c r="D1274" s="56" t="s">
        <v>9</v>
      </c>
      <c r="E1274" s="56">
        <v>2020</v>
      </c>
      <c r="F1274" s="56">
        <v>351.76</v>
      </c>
      <c r="G1274" t="s">
        <v>232</v>
      </c>
      <c r="H1274">
        <v>489.48</v>
      </c>
    </row>
    <row r="1275" spans="1:8">
      <c r="A1275" s="220">
        <v>43671</v>
      </c>
      <c r="B1275" s="220">
        <v>43677</v>
      </c>
      <c r="C1275" s="56" t="s">
        <v>5</v>
      </c>
      <c r="D1275" s="56" t="s">
        <v>9</v>
      </c>
      <c r="E1275" s="56">
        <v>2019</v>
      </c>
      <c r="F1275" s="56">
        <v>-214.48</v>
      </c>
      <c r="G1275" t="s">
        <v>232</v>
      </c>
      <c r="H1275">
        <v>-279.24</v>
      </c>
    </row>
    <row r="1276" spans="1:8">
      <c r="A1276" s="220">
        <v>43831</v>
      </c>
      <c r="B1276" s="220">
        <v>44196</v>
      </c>
      <c r="C1276" s="56" t="s">
        <v>5</v>
      </c>
      <c r="D1276" s="56" t="s">
        <v>9</v>
      </c>
      <c r="E1276" s="56">
        <v>2020</v>
      </c>
      <c r="F1276" s="56">
        <v>472.92</v>
      </c>
      <c r="G1276" t="s">
        <v>232</v>
      </c>
      <c r="H1276">
        <v>658.08</v>
      </c>
    </row>
    <row r="1277" spans="1:8">
      <c r="A1277" s="220">
        <v>43831</v>
      </c>
      <c r="B1277" s="220">
        <v>44196</v>
      </c>
      <c r="C1277" s="56" t="s">
        <v>5</v>
      </c>
      <c r="D1277" s="56" t="s">
        <v>9</v>
      </c>
      <c r="E1277" s="56">
        <v>2020</v>
      </c>
      <c r="F1277" s="56">
        <v>1030.5</v>
      </c>
      <c r="G1277" t="s">
        <v>232</v>
      </c>
      <c r="H1277">
        <v>1433.96</v>
      </c>
    </row>
    <row r="1278" spans="1:8">
      <c r="A1278" s="220">
        <v>43466</v>
      </c>
      <c r="B1278" s="220">
        <v>43830</v>
      </c>
      <c r="C1278" s="56" t="s">
        <v>5</v>
      </c>
      <c r="D1278" s="56" t="s">
        <v>9</v>
      </c>
      <c r="E1278" s="56">
        <v>2019</v>
      </c>
      <c r="F1278" s="56">
        <v>249.04</v>
      </c>
      <c r="G1278" t="s">
        <v>232</v>
      </c>
      <c r="H1278">
        <v>324.24</v>
      </c>
    </row>
    <row r="1279" spans="1:8">
      <c r="A1279" s="220">
        <v>43862</v>
      </c>
      <c r="B1279" s="220">
        <v>44196</v>
      </c>
      <c r="C1279" s="56" t="s">
        <v>5</v>
      </c>
      <c r="D1279" s="56" t="s">
        <v>9</v>
      </c>
      <c r="E1279" s="56">
        <v>2020</v>
      </c>
      <c r="F1279" s="56">
        <v>322.45</v>
      </c>
      <c r="G1279" t="s">
        <v>232</v>
      </c>
      <c r="H1279">
        <v>448.69</v>
      </c>
    </row>
    <row r="1280" spans="1:8">
      <c r="A1280" s="220">
        <v>43831</v>
      </c>
      <c r="B1280" s="220">
        <v>44196</v>
      </c>
      <c r="C1280" s="56" t="s">
        <v>5</v>
      </c>
      <c r="D1280" s="56" t="s">
        <v>9</v>
      </c>
      <c r="E1280" s="56">
        <v>2020</v>
      </c>
      <c r="F1280" s="56">
        <v>752.93</v>
      </c>
      <c r="G1280" t="s">
        <v>232</v>
      </c>
      <c r="H1280">
        <v>1047.72</v>
      </c>
    </row>
    <row r="1281" spans="1:8">
      <c r="A1281" s="220">
        <v>43831</v>
      </c>
      <c r="B1281" s="220">
        <v>44196</v>
      </c>
      <c r="C1281" s="56" t="s">
        <v>5</v>
      </c>
      <c r="D1281" s="56" t="s">
        <v>9</v>
      </c>
      <c r="E1281" s="56">
        <v>2020</v>
      </c>
      <c r="F1281" s="56">
        <v>236.46</v>
      </c>
      <c r="G1281" t="s">
        <v>232</v>
      </c>
      <c r="H1281">
        <v>329.04</v>
      </c>
    </row>
    <row r="1282" spans="1:8">
      <c r="A1282" s="220">
        <v>43831</v>
      </c>
      <c r="B1282" s="220">
        <v>44196</v>
      </c>
      <c r="C1282" s="56" t="s">
        <v>5</v>
      </c>
      <c r="D1282" s="56" t="s">
        <v>9</v>
      </c>
      <c r="E1282" s="56">
        <v>2020</v>
      </c>
      <c r="F1282" s="56">
        <v>797.32</v>
      </c>
      <c r="G1282" t="s">
        <v>232</v>
      </c>
      <c r="H1282">
        <v>1109.49</v>
      </c>
    </row>
    <row r="1283" spans="1:8">
      <c r="A1283" s="220">
        <v>43831</v>
      </c>
      <c r="B1283" s="220">
        <v>44196</v>
      </c>
      <c r="C1283" s="56" t="s">
        <v>5</v>
      </c>
      <c r="D1283" s="56" t="s">
        <v>9</v>
      </c>
      <c r="E1283" s="56">
        <v>2020</v>
      </c>
      <c r="F1283" s="56">
        <v>236.46</v>
      </c>
      <c r="G1283" t="s">
        <v>232</v>
      </c>
      <c r="H1283">
        <v>329.04</v>
      </c>
    </row>
    <row r="1284" spans="1:8">
      <c r="A1284" s="220">
        <v>43466</v>
      </c>
      <c r="B1284" s="220">
        <v>43830</v>
      </c>
      <c r="C1284" s="56" t="s">
        <v>5</v>
      </c>
      <c r="D1284" s="56" t="s">
        <v>9</v>
      </c>
      <c r="E1284" s="56">
        <v>2019</v>
      </c>
      <c r="F1284" s="56">
        <v>740.86</v>
      </c>
      <c r="G1284" t="s">
        <v>232</v>
      </c>
      <c r="H1284">
        <v>964.56</v>
      </c>
    </row>
    <row r="1285" spans="1:8">
      <c r="A1285" s="220">
        <v>43891</v>
      </c>
      <c r="B1285" s="220">
        <v>44196</v>
      </c>
      <c r="C1285" s="56" t="s">
        <v>5</v>
      </c>
      <c r="D1285" s="56" t="s">
        <v>9</v>
      </c>
      <c r="E1285" s="56">
        <v>2020</v>
      </c>
      <c r="F1285" s="56">
        <v>293.13</v>
      </c>
      <c r="G1285" t="s">
        <v>232</v>
      </c>
      <c r="H1285">
        <v>407.9</v>
      </c>
    </row>
    <row r="1286" spans="1:8">
      <c r="A1286" s="220">
        <v>43831</v>
      </c>
      <c r="B1286" s="220">
        <v>44104</v>
      </c>
      <c r="C1286" s="56" t="s">
        <v>5</v>
      </c>
      <c r="D1286" s="56" t="s">
        <v>9</v>
      </c>
      <c r="E1286" s="56">
        <v>2020</v>
      </c>
      <c r="F1286" s="56">
        <v>655.51</v>
      </c>
      <c r="G1286" t="s">
        <v>232</v>
      </c>
      <c r="H1286">
        <v>912.16</v>
      </c>
    </row>
    <row r="1287" spans="1:8">
      <c r="A1287" s="220">
        <v>43831</v>
      </c>
      <c r="B1287" s="220">
        <v>44196</v>
      </c>
      <c r="C1287" s="56" t="s">
        <v>5</v>
      </c>
      <c r="D1287" s="56" t="s">
        <v>9</v>
      </c>
      <c r="E1287" s="56">
        <v>2020</v>
      </c>
      <c r="F1287" s="56">
        <v>472.92</v>
      </c>
      <c r="G1287" t="s">
        <v>232</v>
      </c>
      <c r="H1287">
        <v>658.08</v>
      </c>
    </row>
    <row r="1288" spans="1:8">
      <c r="A1288" s="220">
        <v>43466</v>
      </c>
      <c r="B1288" s="220">
        <v>43830</v>
      </c>
      <c r="C1288" s="56" t="s">
        <v>5</v>
      </c>
      <c r="D1288" s="56" t="s">
        <v>9</v>
      </c>
      <c r="E1288" s="56">
        <v>2019</v>
      </c>
      <c r="F1288" s="56">
        <v>491.81</v>
      </c>
      <c r="G1288" t="s">
        <v>232</v>
      </c>
      <c r="H1288">
        <v>640.32000000000005</v>
      </c>
    </row>
    <row r="1289" spans="1:8">
      <c r="A1289" s="220">
        <v>43739</v>
      </c>
      <c r="B1289" s="220">
        <v>43830</v>
      </c>
      <c r="C1289" s="56" t="s">
        <v>5</v>
      </c>
      <c r="D1289" s="56" t="s">
        <v>9</v>
      </c>
      <c r="E1289" s="56">
        <v>2019</v>
      </c>
      <c r="F1289" s="56">
        <v>185.21</v>
      </c>
      <c r="G1289" t="s">
        <v>232</v>
      </c>
      <c r="H1289">
        <v>241.14</v>
      </c>
    </row>
    <row r="1290" spans="1:8">
      <c r="A1290" s="220">
        <v>43831</v>
      </c>
      <c r="B1290" s="220">
        <v>44196</v>
      </c>
      <c r="C1290" s="56" t="s">
        <v>5</v>
      </c>
      <c r="D1290" s="56" t="s">
        <v>9</v>
      </c>
      <c r="E1290" s="56">
        <v>2020</v>
      </c>
      <c r="F1290" s="56">
        <v>472.92</v>
      </c>
      <c r="G1290" t="s">
        <v>232</v>
      </c>
      <c r="H1290">
        <v>658.08</v>
      </c>
    </row>
    <row r="1291" spans="1:8">
      <c r="A1291" s="220">
        <v>43678</v>
      </c>
      <c r="B1291" s="220">
        <v>43769</v>
      </c>
      <c r="C1291" s="56" t="s">
        <v>5</v>
      </c>
      <c r="D1291" s="56" t="s">
        <v>9</v>
      </c>
      <c r="E1291" s="56">
        <v>2019</v>
      </c>
      <c r="F1291" s="56">
        <v>246.95</v>
      </c>
      <c r="G1291" t="s">
        <v>232</v>
      </c>
      <c r="H1291">
        <v>321.52</v>
      </c>
    </row>
    <row r="1292" spans="1:8">
      <c r="A1292" s="220">
        <v>43770</v>
      </c>
      <c r="B1292" s="220">
        <v>43799</v>
      </c>
      <c r="C1292" s="56" t="s">
        <v>5</v>
      </c>
      <c r="D1292" s="56" t="s">
        <v>9</v>
      </c>
      <c r="E1292" s="56">
        <v>2019</v>
      </c>
      <c r="F1292" s="56">
        <v>62.57</v>
      </c>
      <c r="G1292" t="s">
        <v>232</v>
      </c>
      <c r="H1292">
        <v>81.459999999999994</v>
      </c>
    </row>
    <row r="1293" spans="1:8">
      <c r="A1293" s="220">
        <v>43466</v>
      </c>
      <c r="B1293" s="220">
        <v>43677</v>
      </c>
      <c r="C1293" s="56" t="s">
        <v>5</v>
      </c>
      <c r="D1293" s="56" t="s">
        <v>9</v>
      </c>
      <c r="E1293" s="56">
        <v>2019</v>
      </c>
      <c r="F1293" s="56">
        <v>145.27000000000001</v>
      </c>
      <c r="G1293" t="s">
        <v>232</v>
      </c>
      <c r="H1293">
        <v>189.14</v>
      </c>
    </row>
    <row r="1294" spans="1:8">
      <c r="A1294" s="220">
        <v>43466</v>
      </c>
      <c r="B1294" s="220">
        <v>43830</v>
      </c>
      <c r="C1294" s="56" t="s">
        <v>5</v>
      </c>
      <c r="D1294" s="56" t="s">
        <v>9</v>
      </c>
      <c r="E1294" s="56">
        <v>2019</v>
      </c>
      <c r="F1294" s="56">
        <v>1127.1400000000001</v>
      </c>
      <c r="G1294" t="s">
        <v>232</v>
      </c>
      <c r="H1294">
        <v>1467.49</v>
      </c>
    </row>
    <row r="1295" spans="1:8">
      <c r="A1295" s="220">
        <v>43466</v>
      </c>
      <c r="B1295" s="220">
        <v>43830</v>
      </c>
      <c r="C1295" s="56" t="s">
        <v>5</v>
      </c>
      <c r="D1295" s="56" t="s">
        <v>9</v>
      </c>
      <c r="E1295" s="56">
        <v>2019</v>
      </c>
      <c r="F1295" s="56">
        <v>498.08</v>
      </c>
      <c r="G1295" t="s">
        <v>232</v>
      </c>
      <c r="H1295">
        <v>648.48</v>
      </c>
    </row>
    <row r="1296" spans="1:8">
      <c r="A1296" s="220">
        <v>43831</v>
      </c>
      <c r="B1296" s="220">
        <v>44196</v>
      </c>
      <c r="C1296" s="56" t="s">
        <v>5</v>
      </c>
      <c r="D1296" s="56" t="s">
        <v>9</v>
      </c>
      <c r="E1296" s="56">
        <v>2020</v>
      </c>
      <c r="F1296" s="56">
        <v>709.38</v>
      </c>
      <c r="G1296" t="s">
        <v>232</v>
      </c>
      <c r="H1296">
        <v>987.12</v>
      </c>
    </row>
    <row r="1297" spans="1:8">
      <c r="A1297" s="220">
        <v>43466</v>
      </c>
      <c r="B1297" s="220">
        <v>43830</v>
      </c>
      <c r="C1297" s="56" t="s">
        <v>5</v>
      </c>
      <c r="D1297" s="56" t="s">
        <v>9</v>
      </c>
      <c r="E1297" s="56">
        <v>2019</v>
      </c>
      <c r="F1297" s="56">
        <v>370.43</v>
      </c>
      <c r="G1297" t="s">
        <v>232</v>
      </c>
      <c r="H1297">
        <v>482.28</v>
      </c>
    </row>
    <row r="1298" spans="1:8">
      <c r="A1298" s="220">
        <v>43466</v>
      </c>
      <c r="B1298" s="220">
        <v>43830</v>
      </c>
      <c r="C1298" s="56" t="s">
        <v>5</v>
      </c>
      <c r="D1298" s="56" t="s">
        <v>9</v>
      </c>
      <c r="E1298" s="56">
        <v>2019</v>
      </c>
      <c r="F1298" s="56">
        <v>380.54</v>
      </c>
      <c r="G1298" t="s">
        <v>232</v>
      </c>
      <c r="H1298">
        <v>495.45</v>
      </c>
    </row>
    <row r="1299" spans="1:8">
      <c r="A1299" s="220">
        <v>43831</v>
      </c>
      <c r="B1299" s="220">
        <v>44196</v>
      </c>
      <c r="C1299" s="56" t="s">
        <v>5</v>
      </c>
      <c r="D1299" s="56" t="s">
        <v>9</v>
      </c>
      <c r="E1299" s="56">
        <v>2020</v>
      </c>
      <c r="F1299" s="56">
        <v>575.48</v>
      </c>
      <c r="G1299" t="s">
        <v>232</v>
      </c>
      <c r="H1299">
        <v>800.8</v>
      </c>
    </row>
    <row r="1300" spans="1:8">
      <c r="A1300" s="220">
        <v>43466</v>
      </c>
      <c r="B1300" s="220">
        <v>43830</v>
      </c>
      <c r="C1300" s="56" t="s">
        <v>5</v>
      </c>
      <c r="D1300" s="56" t="s">
        <v>9</v>
      </c>
      <c r="E1300" s="56">
        <v>2019</v>
      </c>
      <c r="F1300" s="56">
        <v>747.12</v>
      </c>
      <c r="G1300" t="s">
        <v>232</v>
      </c>
      <c r="H1300">
        <v>972.72</v>
      </c>
    </row>
    <row r="1301" spans="1:8">
      <c r="A1301" s="220">
        <v>43831</v>
      </c>
      <c r="B1301" s="220">
        <v>44196</v>
      </c>
      <c r="C1301" s="56" t="s">
        <v>5</v>
      </c>
      <c r="D1301" s="56" t="s">
        <v>9</v>
      </c>
      <c r="E1301" s="56">
        <v>2020</v>
      </c>
      <c r="F1301" s="56">
        <v>236.46</v>
      </c>
      <c r="G1301" t="s">
        <v>232</v>
      </c>
      <c r="H1301">
        <v>329.04</v>
      </c>
    </row>
    <row r="1302" spans="1:8">
      <c r="A1302" s="220">
        <v>43466</v>
      </c>
      <c r="B1302" s="220">
        <v>43830</v>
      </c>
      <c r="C1302" s="56" t="s">
        <v>5</v>
      </c>
      <c r="D1302" s="56" t="s">
        <v>9</v>
      </c>
      <c r="E1302" s="56">
        <v>2019</v>
      </c>
      <c r="F1302" s="56">
        <v>740.86</v>
      </c>
      <c r="G1302" t="s">
        <v>232</v>
      </c>
      <c r="H1302">
        <v>964.56</v>
      </c>
    </row>
    <row r="1303" spans="1:8">
      <c r="A1303" s="220">
        <v>43831</v>
      </c>
      <c r="B1303" s="220">
        <v>44196</v>
      </c>
      <c r="C1303" s="56" t="s">
        <v>5</v>
      </c>
      <c r="D1303" s="56" t="s">
        <v>9</v>
      </c>
      <c r="E1303" s="56">
        <v>2020</v>
      </c>
      <c r="F1303" s="56">
        <v>236.46</v>
      </c>
      <c r="G1303" t="s">
        <v>232</v>
      </c>
      <c r="H1303">
        <v>329.04</v>
      </c>
    </row>
    <row r="1304" spans="1:8">
      <c r="A1304" s="220">
        <v>43862</v>
      </c>
      <c r="B1304" s="220">
        <v>44196</v>
      </c>
      <c r="C1304" s="56" t="s">
        <v>5</v>
      </c>
      <c r="D1304" s="56" t="s">
        <v>9</v>
      </c>
      <c r="E1304" s="56">
        <v>2020</v>
      </c>
      <c r="F1304" s="56">
        <v>428.14</v>
      </c>
      <c r="G1304" t="s">
        <v>232</v>
      </c>
      <c r="H1304">
        <v>595.76</v>
      </c>
    </row>
    <row r="1305" spans="1:8">
      <c r="A1305" s="220">
        <v>43831</v>
      </c>
      <c r="B1305" s="220">
        <v>44196</v>
      </c>
      <c r="C1305" s="56" t="s">
        <v>5</v>
      </c>
      <c r="D1305" s="56" t="s">
        <v>9</v>
      </c>
      <c r="E1305" s="56">
        <v>2020</v>
      </c>
      <c r="F1305" s="56">
        <v>703.52</v>
      </c>
      <c r="G1305" t="s">
        <v>232</v>
      </c>
      <c r="H1305">
        <v>978.96</v>
      </c>
    </row>
    <row r="1306" spans="1:8">
      <c r="A1306" s="220">
        <v>43466</v>
      </c>
      <c r="B1306" s="220">
        <v>43830</v>
      </c>
      <c r="C1306" s="56" t="s">
        <v>5</v>
      </c>
      <c r="D1306" s="56" t="s">
        <v>9</v>
      </c>
      <c r="E1306" s="56">
        <v>2019</v>
      </c>
      <c r="F1306" s="56">
        <v>1579.33</v>
      </c>
      <c r="G1306" t="s">
        <v>232</v>
      </c>
      <c r="H1306">
        <v>2056.2199999999998</v>
      </c>
    </row>
    <row r="1307" spans="1:8">
      <c r="A1307" s="220">
        <v>43617</v>
      </c>
      <c r="B1307" s="220">
        <v>43646</v>
      </c>
      <c r="C1307" s="56" t="s">
        <v>5</v>
      </c>
      <c r="D1307" s="56" t="s">
        <v>9</v>
      </c>
      <c r="E1307" s="56">
        <v>2019</v>
      </c>
      <c r="F1307" s="56">
        <v>99.85</v>
      </c>
      <c r="G1307" t="s">
        <v>232</v>
      </c>
      <c r="H1307">
        <v>130</v>
      </c>
    </row>
    <row r="1308" spans="1:8">
      <c r="A1308" s="220">
        <v>43466</v>
      </c>
      <c r="B1308" s="220">
        <v>43830</v>
      </c>
      <c r="C1308" s="56" t="s">
        <v>5</v>
      </c>
      <c r="D1308" s="56" t="s">
        <v>9</v>
      </c>
      <c r="E1308" s="56">
        <v>2019</v>
      </c>
      <c r="F1308" s="56">
        <v>777.47</v>
      </c>
      <c r="G1308" t="s">
        <v>232</v>
      </c>
      <c r="H1308">
        <v>1012.23</v>
      </c>
    </row>
    <row r="1309" spans="1:8">
      <c r="A1309" s="220">
        <v>43466</v>
      </c>
      <c r="B1309" s="220">
        <v>43830</v>
      </c>
      <c r="C1309" s="56" t="s">
        <v>5</v>
      </c>
      <c r="D1309" s="56" t="s">
        <v>9</v>
      </c>
      <c r="E1309" s="56">
        <v>2019</v>
      </c>
      <c r="F1309" s="56">
        <v>1238.94</v>
      </c>
      <c r="G1309" t="s">
        <v>232</v>
      </c>
      <c r="H1309">
        <v>1613.04</v>
      </c>
    </row>
    <row r="1310" spans="1:8">
      <c r="A1310" s="220">
        <v>43831</v>
      </c>
      <c r="B1310" s="220">
        <v>44196</v>
      </c>
      <c r="C1310" s="56" t="s">
        <v>5</v>
      </c>
      <c r="D1310" s="56" t="s">
        <v>9</v>
      </c>
      <c r="E1310" s="56">
        <v>2020</v>
      </c>
      <c r="F1310" s="56">
        <v>236.46</v>
      </c>
      <c r="G1310" t="s">
        <v>232</v>
      </c>
      <c r="H1310">
        <v>329.04</v>
      </c>
    </row>
    <row r="1311" spans="1:8">
      <c r="A1311" s="220">
        <v>43466</v>
      </c>
      <c r="B1311" s="220">
        <v>43830</v>
      </c>
      <c r="C1311" s="56" t="s">
        <v>5</v>
      </c>
      <c r="D1311" s="56" t="s">
        <v>9</v>
      </c>
      <c r="E1311" s="56">
        <v>2019</v>
      </c>
      <c r="F1311" s="56">
        <v>249.04</v>
      </c>
      <c r="G1311" t="s">
        <v>232</v>
      </c>
      <c r="H1311">
        <v>324.24</v>
      </c>
    </row>
    <row r="1312" spans="1:8">
      <c r="A1312" s="220">
        <v>43831</v>
      </c>
      <c r="B1312" s="220">
        <v>44196</v>
      </c>
      <c r="C1312" s="56" t="s">
        <v>5</v>
      </c>
      <c r="D1312" s="56" t="s">
        <v>9</v>
      </c>
      <c r="E1312" s="56">
        <v>2020</v>
      </c>
      <c r="F1312" s="56">
        <v>467.06</v>
      </c>
      <c r="G1312" t="s">
        <v>232</v>
      </c>
      <c r="H1312">
        <v>649.91999999999996</v>
      </c>
    </row>
    <row r="1313" spans="1:8">
      <c r="A1313" s="220">
        <v>43678</v>
      </c>
      <c r="B1313" s="220">
        <v>43830</v>
      </c>
      <c r="C1313" s="56" t="s">
        <v>5</v>
      </c>
      <c r="D1313" s="56" t="s">
        <v>9</v>
      </c>
      <c r="E1313" s="56">
        <v>2019</v>
      </c>
      <c r="F1313" s="56">
        <v>207.53</v>
      </c>
      <c r="G1313" t="s">
        <v>232</v>
      </c>
      <c r="H1313">
        <v>270.2</v>
      </c>
    </row>
    <row r="1314" spans="1:8">
      <c r="A1314" s="220">
        <v>43831</v>
      </c>
      <c r="B1314" s="220">
        <v>44196</v>
      </c>
      <c r="C1314" s="56" t="s">
        <v>5</v>
      </c>
      <c r="D1314" s="56" t="s">
        <v>9</v>
      </c>
      <c r="E1314" s="56">
        <v>2020</v>
      </c>
      <c r="F1314" s="56">
        <v>472.92</v>
      </c>
      <c r="G1314" t="s">
        <v>232</v>
      </c>
      <c r="H1314">
        <v>658.08</v>
      </c>
    </row>
    <row r="1315" spans="1:8">
      <c r="A1315" s="220">
        <v>43831</v>
      </c>
      <c r="B1315" s="220">
        <v>44196</v>
      </c>
      <c r="C1315" s="56" t="s">
        <v>5</v>
      </c>
      <c r="D1315" s="56" t="s">
        <v>9</v>
      </c>
      <c r="E1315" s="56">
        <v>2020</v>
      </c>
      <c r="F1315" s="56">
        <v>236.46</v>
      </c>
      <c r="G1315" t="s">
        <v>232</v>
      </c>
      <c r="H1315">
        <v>329.04</v>
      </c>
    </row>
    <row r="1316" spans="1:8">
      <c r="A1316" s="220">
        <v>44105</v>
      </c>
      <c r="B1316" s="220">
        <v>44196</v>
      </c>
      <c r="C1316" s="56" t="s">
        <v>5</v>
      </c>
      <c r="D1316" s="56" t="s">
        <v>9</v>
      </c>
      <c r="E1316" s="56">
        <v>2020</v>
      </c>
      <c r="F1316" s="56">
        <v>189.42</v>
      </c>
      <c r="G1316" t="s">
        <v>232</v>
      </c>
      <c r="H1316">
        <v>263.58</v>
      </c>
    </row>
    <row r="1317" spans="1:8">
      <c r="A1317" s="220">
        <v>43466</v>
      </c>
      <c r="B1317" s="220">
        <v>43830</v>
      </c>
      <c r="C1317" s="56" t="s">
        <v>5</v>
      </c>
      <c r="D1317" s="56" t="s">
        <v>9</v>
      </c>
      <c r="E1317" s="56">
        <v>2019</v>
      </c>
      <c r="F1317" s="56">
        <v>249.04</v>
      </c>
      <c r="G1317" t="s">
        <v>232</v>
      </c>
      <c r="H1317">
        <v>324.24</v>
      </c>
    </row>
    <row r="1318" spans="1:8">
      <c r="A1318" s="220">
        <v>43466</v>
      </c>
      <c r="B1318" s="220">
        <v>43677</v>
      </c>
      <c r="C1318" s="56" t="s">
        <v>5</v>
      </c>
      <c r="D1318" s="56" t="s">
        <v>9</v>
      </c>
      <c r="E1318" s="56">
        <v>2019</v>
      </c>
      <c r="F1318" s="56">
        <v>228.29</v>
      </c>
      <c r="G1318" t="s">
        <v>232</v>
      </c>
      <c r="H1318">
        <v>297.22000000000003</v>
      </c>
    </row>
    <row r="1319" spans="1:8">
      <c r="A1319" s="220">
        <v>43466</v>
      </c>
      <c r="B1319" s="220">
        <v>43769</v>
      </c>
      <c r="C1319" s="56" t="s">
        <v>5</v>
      </c>
      <c r="D1319" s="56" t="s">
        <v>9</v>
      </c>
      <c r="E1319" s="56">
        <v>2019</v>
      </c>
      <c r="F1319" s="56">
        <v>342.02</v>
      </c>
      <c r="G1319" t="s">
        <v>232</v>
      </c>
      <c r="H1319">
        <v>445.29</v>
      </c>
    </row>
    <row r="1320" spans="1:8">
      <c r="A1320" s="220">
        <v>43831</v>
      </c>
      <c r="B1320" s="220">
        <v>44196</v>
      </c>
      <c r="C1320" s="56" t="s">
        <v>5</v>
      </c>
      <c r="D1320" s="56" t="s">
        <v>9</v>
      </c>
      <c r="E1320" s="56">
        <v>2020</v>
      </c>
      <c r="F1320" s="56">
        <v>1164.06</v>
      </c>
      <c r="G1320" t="s">
        <v>232</v>
      </c>
      <c r="H1320">
        <v>1619.82</v>
      </c>
    </row>
    <row r="1321" spans="1:8">
      <c r="A1321" s="220">
        <v>43497</v>
      </c>
      <c r="B1321" s="220">
        <v>43738</v>
      </c>
      <c r="C1321" s="56" t="s">
        <v>5</v>
      </c>
      <c r="D1321" s="56" t="s">
        <v>9</v>
      </c>
      <c r="E1321" s="56">
        <v>2019</v>
      </c>
      <c r="F1321" s="56">
        <v>493.9</v>
      </c>
      <c r="G1321" t="s">
        <v>232</v>
      </c>
      <c r="H1321">
        <v>643.04</v>
      </c>
    </row>
    <row r="1322" spans="1:8">
      <c r="A1322" s="220">
        <v>43466</v>
      </c>
      <c r="B1322" s="220">
        <v>43830</v>
      </c>
      <c r="C1322" s="56" t="s">
        <v>5</v>
      </c>
      <c r="D1322" s="56" t="s">
        <v>9</v>
      </c>
      <c r="E1322" s="56">
        <v>2019</v>
      </c>
      <c r="F1322" s="56">
        <v>370.43</v>
      </c>
      <c r="G1322" t="s">
        <v>232</v>
      </c>
      <c r="H1322">
        <v>482.28</v>
      </c>
    </row>
    <row r="1323" spans="1:8">
      <c r="A1323" s="220">
        <v>43831</v>
      </c>
      <c r="B1323" s="220">
        <v>44196</v>
      </c>
      <c r="C1323" s="56" t="s">
        <v>5</v>
      </c>
      <c r="D1323" s="56" t="s">
        <v>9</v>
      </c>
      <c r="E1323" s="56">
        <v>2020</v>
      </c>
      <c r="F1323" s="56">
        <v>467.06</v>
      </c>
      <c r="G1323" t="s">
        <v>232</v>
      </c>
      <c r="H1323">
        <v>649.91999999999996</v>
      </c>
    </row>
    <row r="1324" spans="1:8">
      <c r="A1324" s="220">
        <v>43466</v>
      </c>
      <c r="B1324" s="220">
        <v>43830</v>
      </c>
      <c r="C1324" s="56" t="s">
        <v>5</v>
      </c>
      <c r="D1324" s="56" t="s">
        <v>9</v>
      </c>
      <c r="E1324" s="56">
        <v>2019</v>
      </c>
      <c r="F1324" s="56">
        <v>249.04</v>
      </c>
      <c r="G1324" t="s">
        <v>232</v>
      </c>
      <c r="H1324">
        <v>324.24</v>
      </c>
    </row>
    <row r="1325" spans="1:8">
      <c r="A1325" s="220">
        <v>43831</v>
      </c>
      <c r="B1325" s="220">
        <v>44196</v>
      </c>
      <c r="C1325" s="56" t="s">
        <v>5</v>
      </c>
      <c r="D1325" s="56" t="s">
        <v>9</v>
      </c>
      <c r="E1325" s="56">
        <v>2020</v>
      </c>
      <c r="F1325" s="56">
        <v>236.46</v>
      </c>
      <c r="G1325" t="s">
        <v>232</v>
      </c>
      <c r="H1325">
        <v>329.04</v>
      </c>
    </row>
    <row r="1326" spans="1:8">
      <c r="A1326" s="220">
        <v>43800</v>
      </c>
      <c r="B1326" s="220">
        <v>43830</v>
      </c>
      <c r="C1326" s="56" t="s">
        <v>5</v>
      </c>
      <c r="D1326" s="56" t="s">
        <v>9</v>
      </c>
      <c r="E1326" s="56">
        <v>2019</v>
      </c>
      <c r="F1326" s="56">
        <v>185.21</v>
      </c>
      <c r="G1326" t="s">
        <v>232</v>
      </c>
      <c r="H1326">
        <v>241.14</v>
      </c>
    </row>
    <row r="1327" spans="1:8">
      <c r="A1327" s="220">
        <v>43739</v>
      </c>
      <c r="B1327" s="220">
        <v>43769</v>
      </c>
      <c r="C1327" s="56" t="s">
        <v>5</v>
      </c>
      <c r="D1327" s="56" t="s">
        <v>9</v>
      </c>
      <c r="E1327" s="56">
        <v>2019</v>
      </c>
      <c r="F1327" s="56">
        <v>62.26</v>
      </c>
      <c r="G1327" t="s">
        <v>232</v>
      </c>
      <c r="H1327">
        <v>81.06</v>
      </c>
    </row>
    <row r="1328" spans="1:8">
      <c r="A1328" s="220">
        <v>43831</v>
      </c>
      <c r="B1328" s="220">
        <v>44196</v>
      </c>
      <c r="C1328" s="56" t="s">
        <v>5</v>
      </c>
      <c r="D1328" s="56" t="s">
        <v>9</v>
      </c>
      <c r="E1328" s="56">
        <v>2020</v>
      </c>
      <c r="F1328" s="56">
        <v>1077.23</v>
      </c>
      <c r="G1328" t="s">
        <v>232</v>
      </c>
      <c r="H1328">
        <v>1498.99</v>
      </c>
    </row>
    <row r="1329" spans="1:8">
      <c r="A1329" s="220">
        <v>43831</v>
      </c>
      <c r="B1329" s="220">
        <v>44196</v>
      </c>
      <c r="C1329" s="56" t="s">
        <v>5</v>
      </c>
      <c r="D1329" s="56" t="s">
        <v>9</v>
      </c>
      <c r="E1329" s="56">
        <v>2020</v>
      </c>
      <c r="F1329" s="56">
        <v>236.46</v>
      </c>
      <c r="G1329" t="s">
        <v>232</v>
      </c>
      <c r="H1329">
        <v>329.04</v>
      </c>
    </row>
    <row r="1330" spans="1:8">
      <c r="A1330" s="220">
        <v>43466</v>
      </c>
      <c r="B1330" s="220">
        <v>43830</v>
      </c>
      <c r="C1330" s="56" t="s">
        <v>5</v>
      </c>
      <c r="D1330" s="56" t="s">
        <v>9</v>
      </c>
      <c r="E1330" s="56">
        <v>2019</v>
      </c>
      <c r="F1330" s="56">
        <v>498.08</v>
      </c>
      <c r="G1330" t="s">
        <v>232</v>
      </c>
      <c r="H1330">
        <v>648.48</v>
      </c>
    </row>
    <row r="1331" spans="1:8">
      <c r="A1331" s="220">
        <v>43831</v>
      </c>
      <c r="B1331" s="220">
        <v>44196</v>
      </c>
      <c r="C1331" s="56" t="s">
        <v>5</v>
      </c>
      <c r="D1331" s="56" t="s">
        <v>9</v>
      </c>
      <c r="E1331" s="56">
        <v>2020</v>
      </c>
      <c r="F1331" s="56">
        <v>351.76</v>
      </c>
      <c r="G1331" t="s">
        <v>232</v>
      </c>
      <c r="H1331">
        <v>489.48</v>
      </c>
    </row>
    <row r="1332" spans="1:8">
      <c r="A1332" s="220">
        <v>43678</v>
      </c>
      <c r="B1332" s="220">
        <v>43830</v>
      </c>
      <c r="C1332" s="56" t="s">
        <v>5</v>
      </c>
      <c r="D1332" s="56" t="s">
        <v>9</v>
      </c>
      <c r="E1332" s="56">
        <v>2019</v>
      </c>
      <c r="F1332" s="56">
        <v>207.53</v>
      </c>
      <c r="G1332" t="s">
        <v>232</v>
      </c>
      <c r="H1332">
        <v>270.2</v>
      </c>
    </row>
    <row r="1333" spans="1:8">
      <c r="A1333" s="220">
        <v>43831</v>
      </c>
      <c r="B1333" s="220">
        <v>44196</v>
      </c>
      <c r="C1333" s="56" t="s">
        <v>5</v>
      </c>
      <c r="D1333" s="56" t="s">
        <v>9</v>
      </c>
      <c r="E1333" s="56">
        <v>2020</v>
      </c>
      <c r="F1333" s="56">
        <v>703.52</v>
      </c>
      <c r="G1333" t="s">
        <v>232</v>
      </c>
      <c r="H1333">
        <v>978.96</v>
      </c>
    </row>
    <row r="1334" spans="1:8">
      <c r="A1334" s="220">
        <v>43952</v>
      </c>
      <c r="B1334" s="220">
        <v>44196</v>
      </c>
      <c r="C1334" s="56" t="s">
        <v>5</v>
      </c>
      <c r="D1334" s="56" t="s">
        <v>9</v>
      </c>
      <c r="E1334" s="56">
        <v>2020</v>
      </c>
      <c r="F1334" s="56">
        <v>145.80000000000001</v>
      </c>
      <c r="G1334" t="s">
        <v>232</v>
      </c>
      <c r="H1334">
        <v>202.88</v>
      </c>
    </row>
    <row r="1335" spans="1:8">
      <c r="A1335" s="220">
        <v>43525</v>
      </c>
      <c r="B1335" s="220">
        <v>43830</v>
      </c>
      <c r="C1335" s="56" t="s">
        <v>5</v>
      </c>
      <c r="D1335" s="56" t="s">
        <v>9</v>
      </c>
      <c r="E1335" s="56">
        <v>2019</v>
      </c>
      <c r="F1335" s="56">
        <v>481.66</v>
      </c>
      <c r="G1335" t="s">
        <v>232</v>
      </c>
      <c r="H1335">
        <v>627.1</v>
      </c>
    </row>
    <row r="1336" spans="1:8">
      <c r="A1336" s="220">
        <v>43831</v>
      </c>
      <c r="B1336" s="220">
        <v>44196</v>
      </c>
      <c r="C1336" s="56" t="s">
        <v>5</v>
      </c>
      <c r="D1336" s="56" t="s">
        <v>9</v>
      </c>
      <c r="E1336" s="56">
        <v>2020</v>
      </c>
      <c r="F1336" s="56">
        <v>236.46</v>
      </c>
      <c r="G1336" t="s">
        <v>232</v>
      </c>
      <c r="H1336">
        <v>329.04</v>
      </c>
    </row>
    <row r="1337" spans="1:8">
      <c r="A1337" s="220">
        <v>43466</v>
      </c>
      <c r="B1337" s="220">
        <v>43830</v>
      </c>
      <c r="C1337" s="56" t="s">
        <v>5</v>
      </c>
      <c r="D1337" s="56" t="s">
        <v>9</v>
      </c>
      <c r="E1337" s="56">
        <v>2019</v>
      </c>
      <c r="F1337" s="56">
        <v>1075.71</v>
      </c>
      <c r="G1337" t="s">
        <v>232</v>
      </c>
      <c r="H1337">
        <v>1400.52</v>
      </c>
    </row>
    <row r="1338" spans="1:8">
      <c r="A1338" s="220">
        <v>43831</v>
      </c>
      <c r="B1338" s="220">
        <v>44135</v>
      </c>
      <c r="C1338" s="56" t="s">
        <v>5</v>
      </c>
      <c r="D1338" s="56" t="s">
        <v>9</v>
      </c>
      <c r="E1338" s="56">
        <v>2020</v>
      </c>
      <c r="F1338" s="56">
        <v>354.69</v>
      </c>
      <c r="G1338" t="s">
        <v>232</v>
      </c>
      <c r="H1338">
        <v>493.56</v>
      </c>
    </row>
    <row r="1339" spans="1:8">
      <c r="A1339" s="220">
        <v>43983</v>
      </c>
      <c r="B1339" s="220">
        <v>44135</v>
      </c>
      <c r="C1339" s="56" t="s">
        <v>5</v>
      </c>
      <c r="D1339" s="56" t="s">
        <v>9</v>
      </c>
      <c r="E1339" s="56">
        <v>2020</v>
      </c>
      <c r="F1339" s="56">
        <v>125.62</v>
      </c>
      <c r="G1339" t="s">
        <v>232</v>
      </c>
      <c r="H1339">
        <v>174.81</v>
      </c>
    </row>
    <row r="1340" spans="1:8">
      <c r="A1340" s="220">
        <v>43466</v>
      </c>
      <c r="B1340" s="220">
        <v>43830</v>
      </c>
      <c r="C1340" s="56" t="s">
        <v>5</v>
      </c>
      <c r="D1340" s="56" t="s">
        <v>9</v>
      </c>
      <c r="E1340" s="56">
        <v>2019</v>
      </c>
      <c r="F1340" s="56">
        <v>249.04</v>
      </c>
      <c r="G1340" t="s">
        <v>232</v>
      </c>
      <c r="H1340">
        <v>324.24</v>
      </c>
    </row>
    <row r="1341" spans="1:8">
      <c r="A1341" s="220">
        <v>43466</v>
      </c>
      <c r="B1341" s="220">
        <v>43830</v>
      </c>
      <c r="C1341" s="56" t="s">
        <v>5</v>
      </c>
      <c r="D1341" s="56" t="s">
        <v>9</v>
      </c>
      <c r="E1341" s="56">
        <v>2019</v>
      </c>
      <c r="F1341" s="56">
        <v>740.86</v>
      </c>
      <c r="G1341" t="s">
        <v>232</v>
      </c>
      <c r="H1341">
        <v>964.56</v>
      </c>
    </row>
    <row r="1342" spans="1:8">
      <c r="A1342" s="220">
        <v>43831</v>
      </c>
      <c r="B1342" s="220">
        <v>44196</v>
      </c>
      <c r="C1342" s="56" t="s">
        <v>5</v>
      </c>
      <c r="D1342" s="56" t="s">
        <v>9</v>
      </c>
      <c r="E1342" s="56">
        <v>2020</v>
      </c>
      <c r="F1342" s="56">
        <v>703.52</v>
      </c>
      <c r="G1342" t="s">
        <v>232</v>
      </c>
      <c r="H1342">
        <v>978.96</v>
      </c>
    </row>
    <row r="1343" spans="1:8">
      <c r="A1343" s="220">
        <v>43466</v>
      </c>
      <c r="B1343" s="220">
        <v>43830</v>
      </c>
      <c r="C1343" s="56" t="s">
        <v>5</v>
      </c>
      <c r="D1343" s="56" t="s">
        <v>9</v>
      </c>
      <c r="E1343" s="56">
        <v>2019</v>
      </c>
      <c r="F1343" s="56">
        <v>538.9</v>
      </c>
      <c r="G1343" t="s">
        <v>232</v>
      </c>
      <c r="H1343">
        <v>701.62</v>
      </c>
    </row>
    <row r="1344" spans="1:8">
      <c r="A1344" s="220">
        <v>43831</v>
      </c>
      <c r="B1344" s="220">
        <v>44196</v>
      </c>
      <c r="C1344" s="56" t="s">
        <v>5</v>
      </c>
      <c r="D1344" s="56" t="s">
        <v>9</v>
      </c>
      <c r="E1344" s="56">
        <v>2020</v>
      </c>
      <c r="F1344" s="56">
        <v>467.06</v>
      </c>
      <c r="G1344" t="s">
        <v>232</v>
      </c>
      <c r="H1344">
        <v>649.91999999999996</v>
      </c>
    </row>
    <row r="1345" spans="1:8">
      <c r="A1345" s="220">
        <v>43466</v>
      </c>
      <c r="B1345" s="220">
        <v>43555</v>
      </c>
      <c r="C1345" s="56" t="s">
        <v>5</v>
      </c>
      <c r="D1345" s="56" t="s">
        <v>9</v>
      </c>
      <c r="E1345" s="56">
        <v>2019</v>
      </c>
      <c r="F1345" s="56">
        <v>4.16</v>
      </c>
      <c r="G1345" t="s">
        <v>232</v>
      </c>
      <c r="H1345">
        <v>5.41</v>
      </c>
    </row>
    <row r="1346" spans="1:8">
      <c r="A1346" s="220">
        <v>43466</v>
      </c>
      <c r="B1346" s="220">
        <v>43677</v>
      </c>
      <c r="C1346" s="56" t="s">
        <v>5</v>
      </c>
      <c r="D1346" s="56" t="s">
        <v>9</v>
      </c>
      <c r="E1346" s="56">
        <v>2019</v>
      </c>
      <c r="F1346" s="56">
        <v>938.8</v>
      </c>
      <c r="G1346" t="s">
        <v>232</v>
      </c>
      <c r="H1346">
        <v>1222.27</v>
      </c>
    </row>
    <row r="1347" spans="1:8">
      <c r="A1347" s="220">
        <v>43678</v>
      </c>
      <c r="B1347" s="220">
        <v>43830</v>
      </c>
      <c r="C1347" s="56" t="s">
        <v>5</v>
      </c>
      <c r="D1347" s="56" t="s">
        <v>9</v>
      </c>
      <c r="E1347" s="56">
        <v>2019</v>
      </c>
      <c r="F1347" s="56">
        <v>154.34</v>
      </c>
      <c r="G1347" t="s">
        <v>232</v>
      </c>
      <c r="H1347">
        <v>200.95</v>
      </c>
    </row>
    <row r="1348" spans="1:8">
      <c r="A1348" s="220">
        <v>43466</v>
      </c>
      <c r="B1348" s="220">
        <v>43830</v>
      </c>
      <c r="C1348" s="56" t="s">
        <v>5</v>
      </c>
      <c r="D1348" s="56" t="s">
        <v>9</v>
      </c>
      <c r="E1348" s="56">
        <v>2019</v>
      </c>
      <c r="F1348" s="56">
        <v>370.43</v>
      </c>
      <c r="G1348" t="s">
        <v>232</v>
      </c>
      <c r="H1348">
        <v>482.28</v>
      </c>
    </row>
    <row r="1349" spans="1:8">
      <c r="A1349" s="220">
        <v>43678</v>
      </c>
      <c r="B1349" s="220">
        <v>43799</v>
      </c>
      <c r="C1349" s="56" t="s">
        <v>5</v>
      </c>
      <c r="D1349" s="56" t="s">
        <v>9</v>
      </c>
      <c r="E1349" s="56">
        <v>2019</v>
      </c>
      <c r="F1349" s="56">
        <v>83.01</v>
      </c>
      <c r="G1349" t="s">
        <v>232</v>
      </c>
      <c r="H1349">
        <v>108.08</v>
      </c>
    </row>
    <row r="1350" spans="1:8">
      <c r="A1350" s="220">
        <v>43466</v>
      </c>
      <c r="B1350" s="220">
        <v>43830</v>
      </c>
      <c r="C1350" s="56" t="s">
        <v>5</v>
      </c>
      <c r="D1350" s="56" t="s">
        <v>9</v>
      </c>
      <c r="E1350" s="56">
        <v>2019</v>
      </c>
      <c r="F1350" s="56">
        <v>429.51</v>
      </c>
      <c r="G1350" t="s">
        <v>232</v>
      </c>
      <c r="H1350">
        <v>559.20000000000005</v>
      </c>
    </row>
    <row r="1351" spans="1:8">
      <c r="A1351" s="220">
        <v>43466</v>
      </c>
      <c r="B1351" s="220">
        <v>43769</v>
      </c>
      <c r="C1351" s="56" t="s">
        <v>5</v>
      </c>
      <c r="D1351" s="56" t="s">
        <v>9</v>
      </c>
      <c r="E1351" s="56">
        <v>2019</v>
      </c>
      <c r="F1351" s="56">
        <v>207.53</v>
      </c>
      <c r="G1351" t="s">
        <v>232</v>
      </c>
      <c r="H1351">
        <v>270.2</v>
      </c>
    </row>
    <row r="1352" spans="1:8">
      <c r="A1352" s="220">
        <v>43466</v>
      </c>
      <c r="B1352" s="220">
        <v>43830</v>
      </c>
      <c r="C1352" s="56" t="s">
        <v>5</v>
      </c>
      <c r="D1352" s="56" t="s">
        <v>9</v>
      </c>
      <c r="E1352" s="56">
        <v>2019</v>
      </c>
      <c r="F1352" s="56">
        <v>491.81</v>
      </c>
      <c r="G1352" t="s">
        <v>232</v>
      </c>
      <c r="H1352">
        <v>640.32000000000005</v>
      </c>
    </row>
    <row r="1353" spans="1:8">
      <c r="A1353" s="220">
        <v>43466</v>
      </c>
      <c r="B1353" s="220">
        <v>43830</v>
      </c>
      <c r="C1353" s="56" t="s">
        <v>5</v>
      </c>
      <c r="D1353" s="56" t="s">
        <v>9</v>
      </c>
      <c r="E1353" s="56">
        <v>2019</v>
      </c>
      <c r="F1353" s="56">
        <v>249.04</v>
      </c>
      <c r="G1353" t="s">
        <v>232</v>
      </c>
      <c r="H1353">
        <v>324.24</v>
      </c>
    </row>
    <row r="1354" spans="1:8">
      <c r="A1354" s="220">
        <v>43739</v>
      </c>
      <c r="B1354" s="220">
        <v>43769</v>
      </c>
      <c r="C1354" s="56" t="s">
        <v>5</v>
      </c>
      <c r="D1354" s="56" t="s">
        <v>9</v>
      </c>
      <c r="E1354" s="56">
        <v>2019</v>
      </c>
      <c r="F1354" s="56">
        <v>-965.64</v>
      </c>
      <c r="G1354" t="s">
        <v>232</v>
      </c>
      <c r="H1354">
        <v>-1257.22</v>
      </c>
    </row>
    <row r="1355" spans="1:8">
      <c r="A1355" s="220">
        <v>43466</v>
      </c>
      <c r="B1355" s="220">
        <v>43830</v>
      </c>
      <c r="C1355" s="56" t="s">
        <v>5</v>
      </c>
      <c r="D1355" s="56" t="s">
        <v>9</v>
      </c>
      <c r="E1355" s="56">
        <v>2019</v>
      </c>
      <c r="F1355" s="56">
        <v>249.04</v>
      </c>
      <c r="G1355" t="s">
        <v>232</v>
      </c>
      <c r="H1355">
        <v>324.24</v>
      </c>
    </row>
    <row r="1356" spans="1:8">
      <c r="A1356" s="220">
        <v>43466</v>
      </c>
      <c r="B1356" s="220">
        <v>43830</v>
      </c>
      <c r="C1356" s="56" t="s">
        <v>5</v>
      </c>
      <c r="D1356" s="56" t="s">
        <v>9</v>
      </c>
      <c r="E1356" s="56">
        <v>2019</v>
      </c>
      <c r="F1356" s="56">
        <v>483.27</v>
      </c>
      <c r="G1356" t="s">
        <v>232</v>
      </c>
      <c r="H1356">
        <v>629.19000000000005</v>
      </c>
    </row>
    <row r="1357" spans="1:8">
      <c r="A1357" s="220">
        <v>43862</v>
      </c>
      <c r="B1357" s="220">
        <v>44165</v>
      </c>
      <c r="C1357" s="56" t="s">
        <v>5</v>
      </c>
      <c r="D1357" s="56" t="s">
        <v>9</v>
      </c>
      <c r="E1357" s="56">
        <v>2020</v>
      </c>
      <c r="F1357" s="56">
        <v>78.819999999999993</v>
      </c>
      <c r="G1357" t="s">
        <v>232</v>
      </c>
      <c r="H1357">
        <v>109.68</v>
      </c>
    </row>
    <row r="1358" spans="1:8">
      <c r="A1358" s="220">
        <v>43831</v>
      </c>
      <c r="B1358" s="220">
        <v>44196</v>
      </c>
      <c r="C1358" s="56" t="s">
        <v>5</v>
      </c>
      <c r="D1358" s="56" t="s">
        <v>9</v>
      </c>
      <c r="E1358" s="56">
        <v>2020</v>
      </c>
      <c r="F1358" s="56">
        <v>236.46</v>
      </c>
      <c r="G1358" t="s">
        <v>232</v>
      </c>
      <c r="H1358">
        <v>329.04</v>
      </c>
    </row>
    <row r="1359" spans="1:8">
      <c r="A1359" s="220">
        <v>43466</v>
      </c>
      <c r="B1359" s="220">
        <v>43830</v>
      </c>
      <c r="C1359" s="56" t="s">
        <v>5</v>
      </c>
      <c r="D1359" s="56" t="s">
        <v>9</v>
      </c>
      <c r="E1359" s="56">
        <v>2019</v>
      </c>
      <c r="F1359" s="56">
        <v>740.86</v>
      </c>
      <c r="G1359" t="s">
        <v>232</v>
      </c>
      <c r="H1359">
        <v>964.56</v>
      </c>
    </row>
    <row r="1360" spans="1:8">
      <c r="A1360" s="220">
        <v>43466</v>
      </c>
      <c r="B1360" s="220">
        <v>43496</v>
      </c>
      <c r="C1360" s="56" t="s">
        <v>5</v>
      </c>
      <c r="D1360" s="56" t="s">
        <v>9</v>
      </c>
      <c r="E1360" s="56">
        <v>2019</v>
      </c>
      <c r="F1360" s="56">
        <v>41.51</v>
      </c>
      <c r="G1360" t="s">
        <v>232</v>
      </c>
      <c r="H1360">
        <v>54.04</v>
      </c>
    </row>
    <row r="1361" spans="1:8">
      <c r="A1361" s="220">
        <v>43678</v>
      </c>
      <c r="B1361" s="220">
        <v>43708</v>
      </c>
      <c r="C1361" s="56" t="s">
        <v>5</v>
      </c>
      <c r="D1361" s="56" t="s">
        <v>9</v>
      </c>
      <c r="E1361" s="56">
        <v>2019</v>
      </c>
      <c r="F1361" s="56">
        <v>-103.77</v>
      </c>
      <c r="G1361" t="s">
        <v>232</v>
      </c>
      <c r="H1361">
        <v>-135.1</v>
      </c>
    </row>
    <row r="1362" spans="1:8">
      <c r="A1362" s="220">
        <v>43647</v>
      </c>
      <c r="B1362" s="220">
        <v>43830</v>
      </c>
      <c r="C1362" s="56" t="s">
        <v>5</v>
      </c>
      <c r="D1362" s="56" t="s">
        <v>9</v>
      </c>
      <c r="E1362" s="56">
        <v>2019</v>
      </c>
      <c r="F1362" s="56">
        <v>45.85</v>
      </c>
      <c r="G1362" t="s">
        <v>232</v>
      </c>
      <c r="H1362">
        <v>59.7</v>
      </c>
    </row>
    <row r="1363" spans="1:8">
      <c r="A1363" s="220">
        <v>43466</v>
      </c>
      <c r="B1363" s="220">
        <v>43830</v>
      </c>
      <c r="C1363" s="56" t="s">
        <v>5</v>
      </c>
      <c r="D1363" s="56" t="s">
        <v>9</v>
      </c>
      <c r="E1363" s="56">
        <v>2019</v>
      </c>
      <c r="F1363" s="56">
        <v>491.81</v>
      </c>
      <c r="G1363" t="s">
        <v>232</v>
      </c>
      <c r="H1363">
        <v>640.32000000000005</v>
      </c>
    </row>
    <row r="1364" spans="1:8">
      <c r="A1364" s="220">
        <v>43466</v>
      </c>
      <c r="B1364" s="220">
        <v>43830</v>
      </c>
      <c r="C1364" s="56" t="s">
        <v>5</v>
      </c>
      <c r="D1364" s="56" t="s">
        <v>9</v>
      </c>
      <c r="E1364" s="56">
        <v>2019</v>
      </c>
      <c r="F1364" s="56">
        <v>249.04</v>
      </c>
      <c r="G1364" t="s">
        <v>232</v>
      </c>
      <c r="H1364">
        <v>324.24</v>
      </c>
    </row>
    <row r="1365" spans="1:8">
      <c r="A1365" s="220">
        <v>43831</v>
      </c>
      <c r="B1365" s="220">
        <v>44196</v>
      </c>
      <c r="C1365" s="56" t="s">
        <v>5</v>
      </c>
      <c r="D1365" s="56" t="s">
        <v>9</v>
      </c>
      <c r="E1365" s="56">
        <v>2020</v>
      </c>
      <c r="F1365" s="56">
        <v>2960.69</v>
      </c>
      <c r="G1365" t="s">
        <v>232</v>
      </c>
      <c r="H1365">
        <v>4119.87</v>
      </c>
    </row>
    <row r="1366" spans="1:8">
      <c r="A1366" s="220">
        <v>43678</v>
      </c>
      <c r="B1366" s="220">
        <v>43830</v>
      </c>
      <c r="C1366" s="56" t="s">
        <v>5</v>
      </c>
      <c r="D1366" s="56" t="s">
        <v>9</v>
      </c>
      <c r="E1366" s="56">
        <v>2019</v>
      </c>
      <c r="F1366" s="56">
        <v>204.92</v>
      </c>
      <c r="G1366" t="s">
        <v>232</v>
      </c>
      <c r="H1366">
        <v>266.8</v>
      </c>
    </row>
    <row r="1367" spans="1:8">
      <c r="A1367" s="220">
        <v>43466</v>
      </c>
      <c r="B1367" s="220">
        <v>43830</v>
      </c>
      <c r="C1367" s="56" t="s">
        <v>5</v>
      </c>
      <c r="D1367" s="56" t="s">
        <v>9</v>
      </c>
      <c r="E1367" s="56">
        <v>2019</v>
      </c>
      <c r="F1367" s="56">
        <v>491.81</v>
      </c>
      <c r="G1367" t="s">
        <v>232</v>
      </c>
      <c r="H1367">
        <v>640.32000000000005</v>
      </c>
    </row>
    <row r="1368" spans="1:8">
      <c r="A1368" s="220">
        <v>43497</v>
      </c>
      <c r="B1368" s="220">
        <v>43799</v>
      </c>
      <c r="C1368" s="56" t="s">
        <v>5</v>
      </c>
      <c r="D1368" s="56" t="s">
        <v>9</v>
      </c>
      <c r="E1368" s="56">
        <v>2019</v>
      </c>
      <c r="F1368" s="56">
        <v>1140.1099999999999</v>
      </c>
      <c r="G1368" t="s">
        <v>232</v>
      </c>
      <c r="H1368">
        <v>1484.37</v>
      </c>
    </row>
    <row r="1369" spans="1:8">
      <c r="A1369" s="220">
        <v>43466</v>
      </c>
      <c r="B1369" s="220">
        <v>43830</v>
      </c>
      <c r="C1369" s="56" t="s">
        <v>5</v>
      </c>
      <c r="D1369" s="56" t="s">
        <v>9</v>
      </c>
      <c r="E1369" s="56">
        <v>2019</v>
      </c>
      <c r="F1369" s="56">
        <v>249.04</v>
      </c>
      <c r="G1369" t="s">
        <v>232</v>
      </c>
      <c r="H1369">
        <v>324.24</v>
      </c>
    </row>
    <row r="1370" spans="1:8">
      <c r="A1370" s="220">
        <v>43831</v>
      </c>
      <c r="B1370" s="220">
        <v>44196</v>
      </c>
      <c r="C1370" s="56" t="s">
        <v>5</v>
      </c>
      <c r="D1370" s="56" t="s">
        <v>9</v>
      </c>
      <c r="E1370" s="56">
        <v>2020</v>
      </c>
      <c r="F1370" s="56">
        <v>236.46</v>
      </c>
      <c r="G1370" t="s">
        <v>232</v>
      </c>
      <c r="H1370">
        <v>329.04</v>
      </c>
    </row>
    <row r="1371" spans="1:8">
      <c r="A1371" s="220">
        <v>43466</v>
      </c>
      <c r="B1371" s="220">
        <v>43830</v>
      </c>
      <c r="C1371" s="56" t="s">
        <v>5</v>
      </c>
      <c r="D1371" s="56" t="s">
        <v>9</v>
      </c>
      <c r="E1371" s="56">
        <v>2019</v>
      </c>
      <c r="F1371" s="56">
        <v>505.69</v>
      </c>
      <c r="G1371" t="s">
        <v>232</v>
      </c>
      <c r="H1371">
        <v>658.39</v>
      </c>
    </row>
    <row r="1372" spans="1:8">
      <c r="A1372" s="220">
        <v>43466</v>
      </c>
      <c r="B1372" s="220">
        <v>43830</v>
      </c>
      <c r="C1372" s="56" t="s">
        <v>5</v>
      </c>
      <c r="D1372" s="56" t="s">
        <v>9</v>
      </c>
      <c r="E1372" s="56">
        <v>2019</v>
      </c>
      <c r="F1372" s="56">
        <v>352.29</v>
      </c>
      <c r="G1372" t="s">
        <v>232</v>
      </c>
      <c r="H1372">
        <v>458.66</v>
      </c>
    </row>
    <row r="1373" spans="1:8">
      <c r="A1373" s="220">
        <v>43466</v>
      </c>
      <c r="B1373" s="220">
        <v>43830</v>
      </c>
      <c r="C1373" s="56" t="s">
        <v>5</v>
      </c>
      <c r="D1373" s="56" t="s">
        <v>9</v>
      </c>
      <c r="E1373" s="56">
        <v>2019</v>
      </c>
      <c r="F1373" s="56">
        <v>498.08</v>
      </c>
      <c r="G1373" t="s">
        <v>232</v>
      </c>
      <c r="H1373">
        <v>648.48</v>
      </c>
    </row>
    <row r="1374" spans="1:8">
      <c r="A1374" s="220">
        <v>43831</v>
      </c>
      <c r="B1374" s="220">
        <v>44196</v>
      </c>
      <c r="C1374" s="56" t="s">
        <v>5</v>
      </c>
      <c r="D1374" s="56" t="s">
        <v>9</v>
      </c>
      <c r="E1374" s="56">
        <v>2020</v>
      </c>
      <c r="F1374" s="56">
        <v>1391.68</v>
      </c>
      <c r="G1374" t="s">
        <v>232</v>
      </c>
      <c r="H1374">
        <v>1936.56</v>
      </c>
    </row>
    <row r="1375" spans="1:8">
      <c r="A1375" s="220">
        <v>43831</v>
      </c>
      <c r="B1375" s="220">
        <v>44196</v>
      </c>
      <c r="C1375" s="56" t="s">
        <v>5</v>
      </c>
      <c r="D1375" s="56" t="s">
        <v>9</v>
      </c>
      <c r="E1375" s="56">
        <v>2020</v>
      </c>
      <c r="F1375" s="56">
        <v>157.63999999999999</v>
      </c>
      <c r="G1375" t="s">
        <v>232</v>
      </c>
      <c r="H1375">
        <v>219.36</v>
      </c>
    </row>
    <row r="1376" spans="1:8">
      <c r="A1376" s="220">
        <v>43831</v>
      </c>
      <c r="B1376" s="220">
        <v>43951</v>
      </c>
      <c r="C1376" s="56" t="s">
        <v>5</v>
      </c>
      <c r="D1376" s="56" t="s">
        <v>9</v>
      </c>
      <c r="E1376" s="56">
        <v>2020</v>
      </c>
      <c r="F1376" s="56">
        <v>68.72</v>
      </c>
      <c r="G1376" t="s">
        <v>232</v>
      </c>
      <c r="H1376">
        <v>95.63</v>
      </c>
    </row>
    <row r="1377" spans="1:8">
      <c r="A1377" s="220">
        <v>43466</v>
      </c>
      <c r="B1377" s="220">
        <v>43830</v>
      </c>
      <c r="C1377" s="56" t="s">
        <v>5</v>
      </c>
      <c r="D1377" s="56" t="s">
        <v>9</v>
      </c>
      <c r="E1377" s="56">
        <v>2019</v>
      </c>
      <c r="F1377" s="56">
        <v>370.43</v>
      </c>
      <c r="G1377" t="s">
        <v>232</v>
      </c>
      <c r="H1377">
        <v>482.28</v>
      </c>
    </row>
    <row r="1378" spans="1:8">
      <c r="A1378" s="220">
        <v>43831</v>
      </c>
      <c r="B1378" s="220">
        <v>44196</v>
      </c>
      <c r="C1378" s="56" t="s">
        <v>5</v>
      </c>
      <c r="D1378" s="56" t="s">
        <v>9</v>
      </c>
      <c r="E1378" s="56">
        <v>2020</v>
      </c>
      <c r="F1378" s="56">
        <v>351.76</v>
      </c>
      <c r="G1378" t="s">
        <v>232</v>
      </c>
      <c r="H1378">
        <v>489.48</v>
      </c>
    </row>
    <row r="1379" spans="1:8">
      <c r="A1379" s="220">
        <v>43497</v>
      </c>
      <c r="B1379" s="220">
        <v>43830</v>
      </c>
      <c r="C1379" s="56" t="s">
        <v>5</v>
      </c>
      <c r="D1379" s="56" t="s">
        <v>9</v>
      </c>
      <c r="E1379" s="56">
        <v>2019</v>
      </c>
      <c r="F1379" s="56">
        <v>228.29</v>
      </c>
      <c r="G1379" t="s">
        <v>232</v>
      </c>
      <c r="H1379">
        <v>297.22000000000003</v>
      </c>
    </row>
    <row r="1380" spans="1:8">
      <c r="A1380" s="220">
        <v>43556</v>
      </c>
      <c r="B1380" s="220">
        <v>43830</v>
      </c>
      <c r="C1380" s="56" t="s">
        <v>5</v>
      </c>
      <c r="D1380" s="56" t="s">
        <v>9</v>
      </c>
      <c r="E1380" s="56">
        <v>2019</v>
      </c>
      <c r="F1380" s="56">
        <v>186.78</v>
      </c>
      <c r="G1380" t="s">
        <v>232</v>
      </c>
      <c r="H1380">
        <v>243.18</v>
      </c>
    </row>
    <row r="1381" spans="1:8">
      <c r="A1381" s="220">
        <v>43831</v>
      </c>
      <c r="B1381" s="220">
        <v>44196</v>
      </c>
      <c r="C1381" s="56" t="s">
        <v>5</v>
      </c>
      <c r="D1381" s="56" t="s">
        <v>9</v>
      </c>
      <c r="E1381" s="56">
        <v>2020</v>
      </c>
      <c r="F1381" s="56">
        <v>236.46</v>
      </c>
      <c r="G1381" t="s">
        <v>232</v>
      </c>
      <c r="H1381">
        <v>329.04</v>
      </c>
    </row>
    <row r="1382" spans="1:8">
      <c r="A1382" s="220">
        <v>43525</v>
      </c>
      <c r="B1382" s="220">
        <v>43830</v>
      </c>
      <c r="C1382" s="56" t="s">
        <v>5</v>
      </c>
      <c r="D1382" s="56" t="s">
        <v>9</v>
      </c>
      <c r="E1382" s="56">
        <v>2019</v>
      </c>
      <c r="F1382" s="56">
        <v>207.53</v>
      </c>
      <c r="G1382" t="s">
        <v>232</v>
      </c>
      <c r="H1382">
        <v>270.2</v>
      </c>
    </row>
    <row r="1383" spans="1:8">
      <c r="A1383" s="220">
        <v>43831</v>
      </c>
      <c r="B1383" s="220">
        <v>44196</v>
      </c>
      <c r="C1383" s="56" t="s">
        <v>5</v>
      </c>
      <c r="D1383" s="56" t="s">
        <v>9</v>
      </c>
      <c r="E1383" s="56">
        <v>2020</v>
      </c>
      <c r="F1383" s="56">
        <v>236.46</v>
      </c>
      <c r="G1383" t="s">
        <v>232</v>
      </c>
      <c r="H1383">
        <v>329.04</v>
      </c>
    </row>
    <row r="1384" spans="1:8">
      <c r="A1384" s="220">
        <v>43831</v>
      </c>
      <c r="B1384" s="220">
        <v>44196</v>
      </c>
      <c r="C1384" s="56" t="s">
        <v>5</v>
      </c>
      <c r="D1384" s="56" t="s">
        <v>9</v>
      </c>
      <c r="E1384" s="56">
        <v>2020</v>
      </c>
      <c r="F1384" s="56">
        <v>236.46</v>
      </c>
      <c r="G1384" t="s">
        <v>232</v>
      </c>
      <c r="H1384">
        <v>329.04</v>
      </c>
    </row>
    <row r="1385" spans="1:8">
      <c r="A1385" s="220">
        <v>43497</v>
      </c>
      <c r="B1385" s="220">
        <v>43830</v>
      </c>
      <c r="C1385" s="56" t="s">
        <v>5</v>
      </c>
      <c r="D1385" s="56" t="s">
        <v>9</v>
      </c>
      <c r="E1385" s="56">
        <v>2019</v>
      </c>
      <c r="F1385" s="56">
        <v>228.29</v>
      </c>
      <c r="G1385" t="s">
        <v>232</v>
      </c>
      <c r="H1385">
        <v>297.22000000000003</v>
      </c>
    </row>
    <row r="1386" spans="1:8">
      <c r="A1386" s="220">
        <v>43466</v>
      </c>
      <c r="B1386" s="220">
        <v>43738</v>
      </c>
      <c r="C1386" s="56" t="s">
        <v>5</v>
      </c>
      <c r="D1386" s="56" t="s">
        <v>9</v>
      </c>
      <c r="E1386" s="56">
        <v>2019</v>
      </c>
      <c r="F1386" s="56">
        <v>186.78</v>
      </c>
      <c r="G1386" t="s">
        <v>232</v>
      </c>
      <c r="H1386">
        <v>243.18</v>
      </c>
    </row>
    <row r="1387" spans="1:8">
      <c r="A1387" s="220">
        <v>43556</v>
      </c>
      <c r="B1387" s="220">
        <v>43585</v>
      </c>
      <c r="C1387" s="56" t="s">
        <v>5</v>
      </c>
      <c r="D1387" s="56" t="s">
        <v>9</v>
      </c>
      <c r="E1387" s="56">
        <v>2019</v>
      </c>
      <c r="F1387" s="56">
        <v>-127.38</v>
      </c>
      <c r="G1387" t="s">
        <v>232</v>
      </c>
      <c r="H1387">
        <v>-165.84</v>
      </c>
    </row>
    <row r="1388" spans="1:8">
      <c r="A1388" s="220">
        <v>43474</v>
      </c>
      <c r="B1388" s="220">
        <v>43830</v>
      </c>
      <c r="C1388" s="56" t="s">
        <v>5</v>
      </c>
      <c r="D1388" s="56" t="s">
        <v>9</v>
      </c>
      <c r="E1388" s="56">
        <v>2019</v>
      </c>
      <c r="F1388" s="56">
        <v>500.16</v>
      </c>
      <c r="G1388" t="s">
        <v>232</v>
      </c>
      <c r="H1388">
        <v>651.19000000000005</v>
      </c>
    </row>
    <row r="1389" spans="1:8">
      <c r="A1389" s="220">
        <v>43678</v>
      </c>
      <c r="B1389" s="220">
        <v>43830</v>
      </c>
      <c r="C1389" s="56" t="s">
        <v>5</v>
      </c>
      <c r="D1389" s="56" t="s">
        <v>9</v>
      </c>
      <c r="E1389" s="56">
        <v>2019</v>
      </c>
      <c r="F1389" s="56">
        <v>103.77</v>
      </c>
      <c r="G1389" t="s">
        <v>232</v>
      </c>
      <c r="H1389">
        <v>135.1</v>
      </c>
    </row>
    <row r="1390" spans="1:8">
      <c r="A1390" s="220">
        <v>43466</v>
      </c>
      <c r="B1390" s="220">
        <v>43830</v>
      </c>
      <c r="C1390" s="56" t="s">
        <v>5</v>
      </c>
      <c r="D1390" s="56" t="s">
        <v>9</v>
      </c>
      <c r="E1390" s="56">
        <v>2019</v>
      </c>
      <c r="F1390" s="56">
        <v>304.99</v>
      </c>
      <c r="G1390" t="s">
        <v>232</v>
      </c>
      <c r="H1390">
        <v>397.08</v>
      </c>
    </row>
    <row r="1391" spans="1:8">
      <c r="A1391" s="220">
        <v>43466</v>
      </c>
      <c r="B1391" s="220">
        <v>43830</v>
      </c>
      <c r="C1391" s="56" t="s">
        <v>5</v>
      </c>
      <c r="D1391" s="56" t="s">
        <v>9</v>
      </c>
      <c r="E1391" s="56">
        <v>2019</v>
      </c>
      <c r="F1391" s="56">
        <v>249.04</v>
      </c>
      <c r="G1391" t="s">
        <v>232</v>
      </c>
      <c r="H1391">
        <v>324.24</v>
      </c>
    </row>
    <row r="1392" spans="1:8">
      <c r="A1392" s="220">
        <v>43466</v>
      </c>
      <c r="B1392" s="220">
        <v>43769</v>
      </c>
      <c r="C1392" s="56" t="s">
        <v>5</v>
      </c>
      <c r="D1392" s="56" t="s">
        <v>9</v>
      </c>
      <c r="E1392" s="56">
        <v>2019</v>
      </c>
      <c r="F1392" s="56">
        <v>-111.08</v>
      </c>
      <c r="G1392" t="s">
        <v>232</v>
      </c>
      <c r="H1392">
        <v>-144.62</v>
      </c>
    </row>
    <row r="1393" spans="1:8">
      <c r="A1393" s="220">
        <v>43466</v>
      </c>
      <c r="B1393" s="220">
        <v>43830</v>
      </c>
      <c r="C1393" s="56" t="s">
        <v>5</v>
      </c>
      <c r="D1393" s="56" t="s">
        <v>9</v>
      </c>
      <c r="E1393" s="56">
        <v>2019</v>
      </c>
      <c r="F1393" s="56">
        <v>249.04</v>
      </c>
      <c r="G1393" t="s">
        <v>232</v>
      </c>
      <c r="H1393">
        <v>324.24</v>
      </c>
    </row>
    <row r="1394" spans="1:8">
      <c r="A1394" s="220">
        <v>43466</v>
      </c>
      <c r="B1394" s="220">
        <v>43830</v>
      </c>
      <c r="C1394" s="56" t="s">
        <v>5</v>
      </c>
      <c r="D1394" s="56" t="s">
        <v>9</v>
      </c>
      <c r="E1394" s="56">
        <v>2019</v>
      </c>
      <c r="F1394" s="56">
        <v>989.9</v>
      </c>
      <c r="G1394" t="s">
        <v>232</v>
      </c>
      <c r="H1394">
        <v>1288.8</v>
      </c>
    </row>
    <row r="1395" spans="1:8">
      <c r="A1395" s="220">
        <v>44075</v>
      </c>
      <c r="B1395" s="220">
        <v>44104</v>
      </c>
      <c r="C1395" s="56" t="s">
        <v>5</v>
      </c>
      <c r="D1395" s="56" t="s">
        <v>9</v>
      </c>
      <c r="E1395" s="56">
        <v>2020</v>
      </c>
      <c r="F1395" s="56">
        <v>61.08</v>
      </c>
      <c r="G1395" t="s">
        <v>232</v>
      </c>
      <c r="H1395">
        <v>85</v>
      </c>
    </row>
    <row r="1396" spans="1:8">
      <c r="A1396" s="220">
        <v>43466</v>
      </c>
      <c r="B1396" s="220">
        <v>43830</v>
      </c>
      <c r="C1396" s="56" t="s">
        <v>5</v>
      </c>
      <c r="D1396" s="56" t="s">
        <v>9</v>
      </c>
      <c r="E1396" s="56">
        <v>2019</v>
      </c>
      <c r="F1396" s="56">
        <v>491.81</v>
      </c>
      <c r="G1396" t="s">
        <v>232</v>
      </c>
      <c r="H1396">
        <v>640.32000000000005</v>
      </c>
    </row>
    <row r="1397" spans="1:8">
      <c r="A1397" s="220">
        <v>43831</v>
      </c>
      <c r="B1397" s="220">
        <v>44196</v>
      </c>
      <c r="C1397" s="56" t="s">
        <v>5</v>
      </c>
      <c r="D1397" s="56" t="s">
        <v>9</v>
      </c>
      <c r="E1397" s="56">
        <v>2020</v>
      </c>
      <c r="F1397" s="56">
        <v>236.46</v>
      </c>
      <c r="G1397" t="s">
        <v>232</v>
      </c>
      <c r="H1397">
        <v>329.04</v>
      </c>
    </row>
    <row r="1398" spans="1:8">
      <c r="A1398" s="220">
        <v>43466</v>
      </c>
      <c r="B1398" s="220">
        <v>43830</v>
      </c>
      <c r="C1398" s="56" t="s">
        <v>5</v>
      </c>
      <c r="D1398" s="56" t="s">
        <v>9</v>
      </c>
      <c r="E1398" s="56">
        <v>2019</v>
      </c>
      <c r="F1398" s="56">
        <v>249.04</v>
      </c>
      <c r="G1398" t="s">
        <v>232</v>
      </c>
      <c r="H1398">
        <v>324.24</v>
      </c>
    </row>
    <row r="1399" spans="1:8">
      <c r="A1399" s="220">
        <v>43647</v>
      </c>
      <c r="B1399" s="220">
        <v>43830</v>
      </c>
      <c r="C1399" s="56" t="s">
        <v>5</v>
      </c>
      <c r="D1399" s="56" t="s">
        <v>9</v>
      </c>
      <c r="E1399" s="56">
        <v>2019</v>
      </c>
      <c r="F1399" s="56">
        <v>124.52</v>
      </c>
      <c r="G1399" t="s">
        <v>232</v>
      </c>
      <c r="H1399">
        <v>162.12</v>
      </c>
    </row>
    <row r="1400" spans="1:8">
      <c r="A1400" s="220">
        <v>43466</v>
      </c>
      <c r="B1400" s="220">
        <v>43830</v>
      </c>
      <c r="C1400" s="56" t="s">
        <v>5</v>
      </c>
      <c r="D1400" s="56" t="s">
        <v>9</v>
      </c>
      <c r="E1400" s="56">
        <v>2019</v>
      </c>
      <c r="F1400" s="56">
        <v>619.47</v>
      </c>
      <c r="G1400" t="s">
        <v>232</v>
      </c>
      <c r="H1400">
        <v>806.52</v>
      </c>
    </row>
    <row r="1401" spans="1:8">
      <c r="A1401" s="220">
        <v>43831</v>
      </c>
      <c r="B1401" s="220">
        <v>44043</v>
      </c>
      <c r="C1401" s="56" t="s">
        <v>5</v>
      </c>
      <c r="D1401" s="56" t="s">
        <v>9</v>
      </c>
      <c r="E1401" s="56">
        <v>2020</v>
      </c>
      <c r="F1401" s="56">
        <v>93.42</v>
      </c>
      <c r="G1401" t="s">
        <v>232</v>
      </c>
      <c r="H1401">
        <v>129.99</v>
      </c>
    </row>
    <row r="1402" spans="1:8">
      <c r="A1402" s="220">
        <v>43466</v>
      </c>
      <c r="B1402" s="220">
        <v>43830</v>
      </c>
      <c r="C1402" s="56" t="s">
        <v>5</v>
      </c>
      <c r="D1402" s="56" t="s">
        <v>9</v>
      </c>
      <c r="E1402" s="56">
        <v>2019</v>
      </c>
      <c r="F1402" s="56">
        <v>370.43</v>
      </c>
      <c r="G1402" t="s">
        <v>232</v>
      </c>
      <c r="H1402">
        <v>482.28</v>
      </c>
    </row>
    <row r="1403" spans="1:8">
      <c r="A1403" s="220">
        <v>43831</v>
      </c>
      <c r="B1403" s="220">
        <v>44074</v>
      </c>
      <c r="C1403" s="56" t="s">
        <v>5</v>
      </c>
      <c r="D1403" s="56" t="s">
        <v>9</v>
      </c>
      <c r="E1403" s="56">
        <v>2020</v>
      </c>
      <c r="F1403" s="56">
        <v>466.45</v>
      </c>
      <c r="G1403" t="s">
        <v>232</v>
      </c>
      <c r="H1403">
        <v>649.08000000000004</v>
      </c>
    </row>
    <row r="1404" spans="1:8">
      <c r="A1404" s="220">
        <v>43466</v>
      </c>
      <c r="B1404" s="220">
        <v>43830</v>
      </c>
      <c r="C1404" s="56" t="s">
        <v>5</v>
      </c>
      <c r="D1404" s="56" t="s">
        <v>9</v>
      </c>
      <c r="E1404" s="56">
        <v>2019</v>
      </c>
      <c r="F1404" s="56">
        <v>491.81</v>
      </c>
      <c r="G1404" t="s">
        <v>232</v>
      </c>
      <c r="H1404">
        <v>640.32000000000005</v>
      </c>
    </row>
    <row r="1405" spans="1:8">
      <c r="A1405" s="220">
        <v>43862</v>
      </c>
      <c r="B1405" s="220">
        <v>44196</v>
      </c>
      <c r="C1405" s="56" t="s">
        <v>5</v>
      </c>
      <c r="D1405" s="56" t="s">
        <v>9</v>
      </c>
      <c r="E1405" s="56">
        <v>2020</v>
      </c>
      <c r="F1405" s="56">
        <v>644.89</v>
      </c>
      <c r="G1405" t="s">
        <v>232</v>
      </c>
      <c r="H1405">
        <v>897.38</v>
      </c>
    </row>
    <row r="1406" spans="1:8">
      <c r="A1406" s="220">
        <v>43466</v>
      </c>
      <c r="B1406" s="220">
        <v>43677</v>
      </c>
      <c r="C1406" s="56" t="s">
        <v>5</v>
      </c>
      <c r="D1406" s="56" t="s">
        <v>9</v>
      </c>
      <c r="E1406" s="56">
        <v>2019</v>
      </c>
      <c r="F1406" s="56">
        <v>290.55</v>
      </c>
      <c r="G1406" t="s">
        <v>232</v>
      </c>
      <c r="H1406">
        <v>378.28</v>
      </c>
    </row>
    <row r="1407" spans="1:8">
      <c r="A1407" s="220">
        <v>43466</v>
      </c>
      <c r="B1407" s="220">
        <v>43830</v>
      </c>
      <c r="C1407" s="56" t="s">
        <v>5</v>
      </c>
      <c r="D1407" s="56" t="s">
        <v>9</v>
      </c>
      <c r="E1407" s="56">
        <v>2019</v>
      </c>
      <c r="F1407" s="56">
        <v>2107.4499999999998</v>
      </c>
      <c r="G1407" t="s">
        <v>232</v>
      </c>
      <c r="H1407">
        <v>2743.8</v>
      </c>
    </row>
    <row r="1408" spans="1:8">
      <c r="A1408" s="220">
        <v>43466</v>
      </c>
      <c r="B1408" s="220">
        <v>43830</v>
      </c>
      <c r="C1408" s="56" t="s">
        <v>5</v>
      </c>
      <c r="D1408" s="56" t="s">
        <v>9</v>
      </c>
      <c r="E1408" s="56">
        <v>2019</v>
      </c>
      <c r="F1408" s="56">
        <v>249.04</v>
      </c>
      <c r="G1408" t="s">
        <v>232</v>
      </c>
      <c r="H1408">
        <v>324.24</v>
      </c>
    </row>
    <row r="1409" spans="1:8">
      <c r="A1409" s="220">
        <v>43466</v>
      </c>
      <c r="B1409" s="220">
        <v>43769</v>
      </c>
      <c r="C1409" s="56" t="s">
        <v>5</v>
      </c>
      <c r="D1409" s="56" t="s">
        <v>9</v>
      </c>
      <c r="E1409" s="56">
        <v>2019</v>
      </c>
      <c r="F1409" s="56">
        <v>311.29000000000002</v>
      </c>
      <c r="G1409" t="s">
        <v>232</v>
      </c>
      <c r="H1409">
        <v>405.28</v>
      </c>
    </row>
    <row r="1410" spans="1:8">
      <c r="A1410" s="220">
        <v>43831</v>
      </c>
      <c r="B1410" s="220">
        <v>44196</v>
      </c>
      <c r="C1410" s="56" t="s">
        <v>5</v>
      </c>
      <c r="D1410" s="56" t="s">
        <v>9</v>
      </c>
      <c r="E1410" s="56">
        <v>2020</v>
      </c>
      <c r="F1410" s="56">
        <v>351.76</v>
      </c>
      <c r="G1410" t="s">
        <v>232</v>
      </c>
      <c r="H1410">
        <v>489.48</v>
      </c>
    </row>
    <row r="1411" spans="1:8">
      <c r="A1411" s="220">
        <v>44075</v>
      </c>
      <c r="B1411" s="220">
        <v>44196</v>
      </c>
      <c r="C1411" s="56" t="s">
        <v>5</v>
      </c>
      <c r="D1411" s="56" t="s">
        <v>9</v>
      </c>
      <c r="E1411" s="56">
        <v>2020</v>
      </c>
      <c r="F1411" s="56">
        <v>287.54000000000002</v>
      </c>
      <c r="G1411" t="s">
        <v>232</v>
      </c>
      <c r="H1411">
        <v>400.12</v>
      </c>
    </row>
    <row r="1412" spans="1:8">
      <c r="A1412" s="220">
        <v>43831</v>
      </c>
      <c r="B1412" s="220">
        <v>44196</v>
      </c>
      <c r="C1412" s="56" t="s">
        <v>5</v>
      </c>
      <c r="D1412" s="56" t="s">
        <v>9</v>
      </c>
      <c r="E1412" s="56">
        <v>2020</v>
      </c>
      <c r="F1412" s="56">
        <v>472.92</v>
      </c>
      <c r="G1412" t="s">
        <v>232</v>
      </c>
      <c r="H1412">
        <v>658.08</v>
      </c>
    </row>
    <row r="1413" spans="1:8">
      <c r="A1413" s="220">
        <v>43645</v>
      </c>
      <c r="B1413" s="220">
        <v>43646</v>
      </c>
      <c r="C1413" s="56" t="s">
        <v>5</v>
      </c>
      <c r="D1413" s="56" t="s">
        <v>9</v>
      </c>
      <c r="E1413" s="56">
        <v>2019</v>
      </c>
      <c r="F1413" s="56">
        <v>-102.46</v>
      </c>
      <c r="G1413" t="s">
        <v>232</v>
      </c>
      <c r="H1413">
        <v>-133.4</v>
      </c>
    </row>
    <row r="1414" spans="1:8">
      <c r="A1414" s="220">
        <v>43831</v>
      </c>
      <c r="B1414" s="220">
        <v>44196</v>
      </c>
      <c r="C1414" s="56" t="s">
        <v>5</v>
      </c>
      <c r="D1414" s="56" t="s">
        <v>9</v>
      </c>
      <c r="E1414" s="56">
        <v>2020</v>
      </c>
      <c r="F1414" s="56">
        <v>472.92</v>
      </c>
      <c r="G1414" t="s">
        <v>232</v>
      </c>
      <c r="H1414">
        <v>658.08</v>
      </c>
    </row>
    <row r="1415" spans="1:8">
      <c r="A1415" s="220">
        <v>43466</v>
      </c>
      <c r="B1415" s="220">
        <v>43830</v>
      </c>
      <c r="C1415" s="56" t="s">
        <v>5</v>
      </c>
      <c r="D1415" s="56" t="s">
        <v>9</v>
      </c>
      <c r="E1415" s="56">
        <v>2019</v>
      </c>
      <c r="F1415" s="56">
        <v>1514.89</v>
      </c>
      <c r="G1415" t="s">
        <v>232</v>
      </c>
      <c r="H1415">
        <v>1972.32</v>
      </c>
    </row>
    <row r="1416" spans="1:8">
      <c r="A1416" s="220">
        <v>43466</v>
      </c>
      <c r="B1416" s="220">
        <v>43830</v>
      </c>
      <c r="C1416" s="56" t="s">
        <v>5</v>
      </c>
      <c r="D1416" s="56" t="s">
        <v>9</v>
      </c>
      <c r="E1416" s="56">
        <v>2019</v>
      </c>
      <c r="F1416" s="56">
        <v>491.81</v>
      </c>
      <c r="G1416" t="s">
        <v>232</v>
      </c>
      <c r="H1416">
        <v>640.32000000000005</v>
      </c>
    </row>
    <row r="1417" spans="1:8">
      <c r="A1417" s="220">
        <v>43556</v>
      </c>
      <c r="B1417" s="220">
        <v>43585</v>
      </c>
      <c r="C1417" s="56" t="s">
        <v>5</v>
      </c>
      <c r="D1417" s="56" t="s">
        <v>9</v>
      </c>
      <c r="E1417" s="56">
        <v>2019</v>
      </c>
      <c r="F1417" s="56">
        <v>-228.9</v>
      </c>
      <c r="G1417" t="s">
        <v>232</v>
      </c>
      <c r="H1417">
        <v>-298.02</v>
      </c>
    </row>
    <row r="1418" spans="1:8">
      <c r="A1418" s="220">
        <v>43831</v>
      </c>
      <c r="B1418" s="220">
        <v>44196</v>
      </c>
      <c r="C1418" s="56" t="s">
        <v>5</v>
      </c>
      <c r="D1418" s="56" t="s">
        <v>9</v>
      </c>
      <c r="E1418" s="56">
        <v>2020</v>
      </c>
      <c r="F1418" s="56">
        <v>1154.79</v>
      </c>
      <c r="G1418" t="s">
        <v>232</v>
      </c>
      <c r="H1418">
        <v>1606.92</v>
      </c>
    </row>
    <row r="1419" spans="1:8">
      <c r="A1419" s="220">
        <v>43831</v>
      </c>
      <c r="B1419" s="220">
        <v>44196</v>
      </c>
      <c r="C1419" s="56" t="s">
        <v>5</v>
      </c>
      <c r="D1419" s="56" t="s">
        <v>9</v>
      </c>
      <c r="E1419" s="56">
        <v>2020</v>
      </c>
      <c r="F1419" s="56">
        <v>910.51</v>
      </c>
      <c r="G1419" t="s">
        <v>232</v>
      </c>
      <c r="H1419">
        <v>1267</v>
      </c>
    </row>
    <row r="1420" spans="1:8">
      <c r="A1420" s="220">
        <v>43586</v>
      </c>
      <c r="B1420" s="220">
        <v>43830</v>
      </c>
      <c r="C1420" s="56" t="s">
        <v>5</v>
      </c>
      <c r="D1420" s="56" t="s">
        <v>9</v>
      </c>
      <c r="E1420" s="56">
        <v>2019</v>
      </c>
      <c r="F1420" s="56">
        <v>41.51</v>
      </c>
      <c r="G1420" t="s">
        <v>232</v>
      </c>
      <c r="H1420">
        <v>54.04</v>
      </c>
    </row>
    <row r="1421" spans="1:8">
      <c r="A1421" s="220">
        <v>43831</v>
      </c>
      <c r="B1421" s="220">
        <v>44135</v>
      </c>
      <c r="C1421" s="56" t="s">
        <v>5</v>
      </c>
      <c r="D1421" s="56" t="s">
        <v>9</v>
      </c>
      <c r="E1421" s="56">
        <v>2020</v>
      </c>
      <c r="F1421" s="56">
        <v>288.02</v>
      </c>
      <c r="G1421" t="s">
        <v>232</v>
      </c>
      <c r="H1421">
        <v>400.79</v>
      </c>
    </row>
    <row r="1422" spans="1:8">
      <c r="A1422" s="220">
        <v>43831</v>
      </c>
      <c r="B1422" s="220">
        <v>44196</v>
      </c>
      <c r="C1422" s="56" t="s">
        <v>5</v>
      </c>
      <c r="D1422" s="56" t="s">
        <v>9</v>
      </c>
      <c r="E1422" s="56">
        <v>2020</v>
      </c>
      <c r="F1422" s="56">
        <v>472.92</v>
      </c>
      <c r="G1422" t="s">
        <v>232</v>
      </c>
      <c r="H1422">
        <v>658.08</v>
      </c>
    </row>
    <row r="1423" spans="1:8">
      <c r="A1423" s="220">
        <v>43678</v>
      </c>
      <c r="B1423" s="220">
        <v>43830</v>
      </c>
      <c r="C1423" s="56" t="s">
        <v>5</v>
      </c>
      <c r="D1423" s="56" t="s">
        <v>9</v>
      </c>
      <c r="E1423" s="56">
        <v>2019</v>
      </c>
      <c r="F1423" s="56">
        <v>207.53</v>
      </c>
      <c r="G1423" t="s">
        <v>232</v>
      </c>
      <c r="H1423">
        <v>270.2</v>
      </c>
    </row>
    <row r="1424" spans="1:8">
      <c r="A1424" s="220">
        <v>43466</v>
      </c>
      <c r="B1424" s="220">
        <v>43830</v>
      </c>
      <c r="C1424" s="56" t="s">
        <v>5</v>
      </c>
      <c r="D1424" s="56" t="s">
        <v>9</v>
      </c>
      <c r="E1424" s="56">
        <v>2019</v>
      </c>
      <c r="F1424" s="56">
        <v>249.04</v>
      </c>
      <c r="G1424" t="s">
        <v>232</v>
      </c>
      <c r="H1424">
        <v>324.24</v>
      </c>
    </row>
    <row r="1425" spans="1:8">
      <c r="A1425" s="220">
        <v>43466</v>
      </c>
      <c r="B1425" s="220">
        <v>43830</v>
      </c>
      <c r="C1425" s="56" t="s">
        <v>5</v>
      </c>
      <c r="D1425" s="56" t="s">
        <v>9</v>
      </c>
      <c r="E1425" s="56">
        <v>2019</v>
      </c>
      <c r="F1425" s="56">
        <v>370.43</v>
      </c>
      <c r="G1425" t="s">
        <v>232</v>
      </c>
      <c r="H1425">
        <v>482.28</v>
      </c>
    </row>
    <row r="1426" spans="1:8">
      <c r="A1426" s="220">
        <v>43466</v>
      </c>
      <c r="B1426" s="220">
        <v>43830</v>
      </c>
      <c r="C1426" s="56" t="s">
        <v>5</v>
      </c>
      <c r="D1426" s="56" t="s">
        <v>9</v>
      </c>
      <c r="E1426" s="56">
        <v>2019</v>
      </c>
      <c r="F1426" s="56">
        <v>787.06</v>
      </c>
      <c r="G1426" t="s">
        <v>232</v>
      </c>
      <c r="H1426">
        <v>1024.72</v>
      </c>
    </row>
    <row r="1427" spans="1:8">
      <c r="A1427" s="220">
        <v>43800</v>
      </c>
      <c r="B1427" s="220">
        <v>43830</v>
      </c>
      <c r="C1427" s="56" t="s">
        <v>5</v>
      </c>
      <c r="D1427" s="56" t="s">
        <v>9</v>
      </c>
      <c r="E1427" s="56">
        <v>2019</v>
      </c>
      <c r="F1427" s="56">
        <v>83.63</v>
      </c>
      <c r="G1427" t="s">
        <v>232</v>
      </c>
      <c r="H1427">
        <v>108.88</v>
      </c>
    </row>
    <row r="1428" spans="1:8">
      <c r="A1428" s="220">
        <v>43831</v>
      </c>
      <c r="B1428" s="220">
        <v>44074</v>
      </c>
      <c r="C1428" s="56" t="s">
        <v>5</v>
      </c>
      <c r="D1428" s="56" t="s">
        <v>9</v>
      </c>
      <c r="E1428" s="56">
        <v>2020</v>
      </c>
      <c r="F1428" s="56">
        <v>234.51</v>
      </c>
      <c r="G1428" t="s">
        <v>232</v>
      </c>
      <c r="H1428">
        <v>326.32</v>
      </c>
    </row>
    <row r="1429" spans="1:8">
      <c r="A1429" s="220">
        <v>43709</v>
      </c>
      <c r="B1429" s="220">
        <v>43830</v>
      </c>
      <c r="C1429" s="56" t="s">
        <v>5</v>
      </c>
      <c r="D1429" s="56" t="s">
        <v>9</v>
      </c>
      <c r="E1429" s="56">
        <v>2019</v>
      </c>
      <c r="F1429" s="56">
        <v>19.93</v>
      </c>
      <c r="G1429" t="s">
        <v>232</v>
      </c>
      <c r="H1429">
        <v>25.95</v>
      </c>
    </row>
    <row r="1430" spans="1:8">
      <c r="A1430" s="220">
        <v>43831</v>
      </c>
      <c r="B1430" s="220">
        <v>44196</v>
      </c>
      <c r="C1430" s="56" t="s">
        <v>5</v>
      </c>
      <c r="D1430" s="56" t="s">
        <v>9</v>
      </c>
      <c r="E1430" s="56">
        <v>2020</v>
      </c>
      <c r="F1430" s="56">
        <v>467.06</v>
      </c>
      <c r="G1430" t="s">
        <v>232</v>
      </c>
      <c r="H1430">
        <v>649.91999999999996</v>
      </c>
    </row>
    <row r="1431" spans="1:8">
      <c r="A1431" s="220">
        <v>43831</v>
      </c>
      <c r="B1431" s="220">
        <v>44196</v>
      </c>
      <c r="C1431" s="56" t="s">
        <v>5</v>
      </c>
      <c r="D1431" s="56" t="s">
        <v>9</v>
      </c>
      <c r="E1431" s="56">
        <v>2020</v>
      </c>
      <c r="F1431" s="56">
        <v>236.46</v>
      </c>
      <c r="G1431" t="s">
        <v>232</v>
      </c>
      <c r="H1431">
        <v>329.04</v>
      </c>
    </row>
    <row r="1432" spans="1:8">
      <c r="A1432" s="220">
        <v>43739</v>
      </c>
      <c r="B1432" s="220">
        <v>43769</v>
      </c>
      <c r="C1432" s="56" t="s">
        <v>5</v>
      </c>
      <c r="D1432" s="56" t="s">
        <v>9</v>
      </c>
      <c r="E1432" s="56">
        <v>2019</v>
      </c>
      <c r="F1432" s="56">
        <v>-30.35</v>
      </c>
      <c r="G1432" t="s">
        <v>232</v>
      </c>
      <c r="H1432">
        <v>-39.51</v>
      </c>
    </row>
    <row r="1433" spans="1:8">
      <c r="A1433" s="220">
        <v>43983</v>
      </c>
      <c r="B1433" s="220">
        <v>44012</v>
      </c>
      <c r="C1433" s="56" t="s">
        <v>5</v>
      </c>
      <c r="D1433" s="56" t="s">
        <v>9</v>
      </c>
      <c r="E1433" s="56">
        <v>2020</v>
      </c>
      <c r="F1433" s="56">
        <v>19.71</v>
      </c>
      <c r="G1433" t="s">
        <v>232</v>
      </c>
      <c r="H1433">
        <v>27.42</v>
      </c>
    </row>
    <row r="1434" spans="1:8">
      <c r="A1434" s="220">
        <v>43778</v>
      </c>
      <c r="B1434" s="220">
        <v>43799</v>
      </c>
      <c r="C1434" s="56" t="s">
        <v>5</v>
      </c>
      <c r="D1434" s="56" t="s">
        <v>9</v>
      </c>
      <c r="E1434" s="56">
        <v>2019</v>
      </c>
      <c r="F1434" s="56">
        <v>-99.67</v>
      </c>
      <c r="G1434" t="s">
        <v>232</v>
      </c>
      <c r="H1434">
        <v>-129.77000000000001</v>
      </c>
    </row>
    <row r="1435" spans="1:8">
      <c r="A1435" s="220">
        <v>43767</v>
      </c>
      <c r="B1435" s="220">
        <v>43769</v>
      </c>
      <c r="C1435" s="56" t="s">
        <v>5</v>
      </c>
      <c r="D1435" s="56" t="s">
        <v>9</v>
      </c>
      <c r="E1435" s="56">
        <v>2019</v>
      </c>
      <c r="F1435" s="56">
        <v>43.58</v>
      </c>
      <c r="G1435" t="s">
        <v>232</v>
      </c>
      <c r="H1435">
        <v>56.74</v>
      </c>
    </row>
    <row r="1436" spans="1:8">
      <c r="A1436" s="220">
        <v>43466</v>
      </c>
      <c r="B1436" s="220">
        <v>43830</v>
      </c>
      <c r="C1436" s="56" t="s">
        <v>5</v>
      </c>
      <c r="D1436" s="56" t="s">
        <v>9</v>
      </c>
      <c r="E1436" s="56">
        <v>2019</v>
      </c>
      <c r="F1436" s="56">
        <v>421.01</v>
      </c>
      <c r="G1436" t="s">
        <v>232</v>
      </c>
      <c r="H1436">
        <v>548.13</v>
      </c>
    </row>
    <row r="1437" spans="1:8">
      <c r="A1437" s="220">
        <v>43556</v>
      </c>
      <c r="B1437" s="220">
        <v>43830</v>
      </c>
      <c r="C1437" s="56" t="s">
        <v>5</v>
      </c>
      <c r="D1437" s="56" t="s">
        <v>9</v>
      </c>
      <c r="E1437" s="56">
        <v>2019</v>
      </c>
      <c r="F1437" s="56">
        <v>352.81</v>
      </c>
      <c r="G1437" t="s">
        <v>232</v>
      </c>
      <c r="H1437">
        <v>459.34</v>
      </c>
    </row>
    <row r="1438" spans="1:8">
      <c r="A1438" s="220">
        <v>43831</v>
      </c>
      <c r="B1438" s="220">
        <v>44043</v>
      </c>
      <c r="C1438" s="56" t="s">
        <v>5</v>
      </c>
      <c r="D1438" s="56" t="s">
        <v>9</v>
      </c>
      <c r="E1438" s="56">
        <v>2020</v>
      </c>
      <c r="F1438" s="56">
        <v>137.94</v>
      </c>
      <c r="G1438" t="s">
        <v>232</v>
      </c>
      <c r="H1438">
        <v>191.94</v>
      </c>
    </row>
    <row r="1439" spans="1:8">
      <c r="A1439" s="220">
        <v>43466</v>
      </c>
      <c r="B1439" s="220">
        <v>43830</v>
      </c>
      <c r="C1439" s="56" t="s">
        <v>5</v>
      </c>
      <c r="D1439" s="56" t="s">
        <v>9</v>
      </c>
      <c r="E1439" s="56">
        <v>2019</v>
      </c>
      <c r="F1439" s="56">
        <v>249.04</v>
      </c>
      <c r="G1439" t="s">
        <v>232</v>
      </c>
      <c r="H1439">
        <v>324.24</v>
      </c>
    </row>
    <row r="1440" spans="1:8">
      <c r="A1440" s="220">
        <v>43831</v>
      </c>
      <c r="B1440" s="220">
        <v>44196</v>
      </c>
      <c r="C1440" s="56" t="s">
        <v>5</v>
      </c>
      <c r="D1440" s="56" t="s">
        <v>9</v>
      </c>
      <c r="E1440" s="56">
        <v>2020</v>
      </c>
      <c r="F1440" s="56">
        <v>216.76</v>
      </c>
      <c r="G1440" t="s">
        <v>232</v>
      </c>
      <c r="H1440">
        <v>301.62</v>
      </c>
    </row>
    <row r="1441" spans="1:8">
      <c r="A1441" s="220">
        <v>43831</v>
      </c>
      <c r="B1441" s="220">
        <v>44196</v>
      </c>
      <c r="C1441" s="56" t="s">
        <v>5</v>
      </c>
      <c r="D1441" s="56" t="s">
        <v>9</v>
      </c>
      <c r="E1441" s="56">
        <v>2020</v>
      </c>
      <c r="F1441" s="56">
        <v>236.46</v>
      </c>
      <c r="G1441" t="s">
        <v>232</v>
      </c>
      <c r="H1441">
        <v>329.04</v>
      </c>
    </row>
    <row r="1442" spans="1:8">
      <c r="A1442" s="220">
        <v>43831</v>
      </c>
      <c r="B1442" s="220">
        <v>44074</v>
      </c>
      <c r="C1442" s="56" t="s">
        <v>5</v>
      </c>
      <c r="D1442" s="56" t="s">
        <v>9</v>
      </c>
      <c r="E1442" s="56">
        <v>2020</v>
      </c>
      <c r="F1442" s="56">
        <v>311.37</v>
      </c>
      <c r="G1442" t="s">
        <v>232</v>
      </c>
      <c r="H1442">
        <v>433.28</v>
      </c>
    </row>
    <row r="1443" spans="1:8">
      <c r="A1443" s="220">
        <v>43466</v>
      </c>
      <c r="B1443" s="220">
        <v>43677</v>
      </c>
      <c r="C1443" s="56" t="s">
        <v>5</v>
      </c>
      <c r="D1443" s="56" t="s">
        <v>9</v>
      </c>
      <c r="E1443" s="56">
        <v>2019</v>
      </c>
      <c r="F1443" s="56">
        <v>186.78</v>
      </c>
      <c r="G1443" t="s">
        <v>232</v>
      </c>
      <c r="H1443">
        <v>243.18</v>
      </c>
    </row>
    <row r="1444" spans="1:8">
      <c r="A1444" s="220">
        <v>43466</v>
      </c>
      <c r="B1444" s="220">
        <v>43830</v>
      </c>
      <c r="C1444" s="56" t="s">
        <v>5</v>
      </c>
      <c r="D1444" s="56" t="s">
        <v>9</v>
      </c>
      <c r="E1444" s="56">
        <v>2019</v>
      </c>
      <c r="F1444" s="56">
        <v>498.08</v>
      </c>
      <c r="G1444" t="s">
        <v>232</v>
      </c>
      <c r="H1444">
        <v>648.48</v>
      </c>
    </row>
    <row r="1445" spans="1:8">
      <c r="A1445" s="220">
        <v>43466</v>
      </c>
      <c r="B1445" s="220">
        <v>43677</v>
      </c>
      <c r="C1445" s="56" t="s">
        <v>5</v>
      </c>
      <c r="D1445" s="56" t="s">
        <v>9</v>
      </c>
      <c r="E1445" s="56">
        <v>2019</v>
      </c>
      <c r="F1445" s="56">
        <v>432.17</v>
      </c>
      <c r="G1445" t="s">
        <v>232</v>
      </c>
      <c r="H1445">
        <v>562.66</v>
      </c>
    </row>
    <row r="1446" spans="1:8">
      <c r="A1446" s="220">
        <v>43739</v>
      </c>
      <c r="B1446" s="220">
        <v>43769</v>
      </c>
      <c r="C1446" s="56" t="s">
        <v>5</v>
      </c>
      <c r="D1446" s="56" t="s">
        <v>9</v>
      </c>
      <c r="E1446" s="56">
        <v>2019</v>
      </c>
      <c r="F1446" s="56">
        <v>53.69</v>
      </c>
      <c r="G1446" t="s">
        <v>232</v>
      </c>
      <c r="H1446">
        <v>69.900000000000006</v>
      </c>
    </row>
    <row r="1447" spans="1:8">
      <c r="A1447" s="220">
        <v>43831</v>
      </c>
      <c r="B1447" s="220">
        <v>44196</v>
      </c>
      <c r="C1447" s="56" t="s">
        <v>5</v>
      </c>
      <c r="D1447" s="56" t="s">
        <v>9</v>
      </c>
      <c r="E1447" s="56">
        <v>2020</v>
      </c>
      <c r="F1447" s="56">
        <v>1488.7</v>
      </c>
      <c r="G1447" t="s">
        <v>232</v>
      </c>
      <c r="H1447">
        <v>2071.56</v>
      </c>
    </row>
    <row r="1448" spans="1:8">
      <c r="A1448" s="220">
        <v>43466</v>
      </c>
      <c r="B1448" s="220">
        <v>43830</v>
      </c>
      <c r="C1448" s="56" t="s">
        <v>5</v>
      </c>
      <c r="D1448" s="56" t="s">
        <v>9</v>
      </c>
      <c r="E1448" s="56">
        <v>2019</v>
      </c>
      <c r="F1448" s="56">
        <v>491.81</v>
      </c>
      <c r="G1448" t="s">
        <v>232</v>
      </c>
      <c r="H1448">
        <v>640.32000000000005</v>
      </c>
    </row>
    <row r="1449" spans="1:8">
      <c r="A1449" s="220">
        <v>43466</v>
      </c>
      <c r="B1449" s="220">
        <v>43677</v>
      </c>
      <c r="C1449" s="56" t="s">
        <v>5</v>
      </c>
      <c r="D1449" s="56" t="s">
        <v>9</v>
      </c>
      <c r="E1449" s="56">
        <v>2019</v>
      </c>
      <c r="F1449" s="56">
        <v>577.44000000000005</v>
      </c>
      <c r="G1449" t="s">
        <v>232</v>
      </c>
      <c r="H1449">
        <v>751.8</v>
      </c>
    </row>
    <row r="1450" spans="1:8">
      <c r="A1450" s="220">
        <v>43466</v>
      </c>
      <c r="B1450" s="220">
        <v>43830</v>
      </c>
      <c r="C1450" s="56" t="s">
        <v>5</v>
      </c>
      <c r="D1450" s="56" t="s">
        <v>9</v>
      </c>
      <c r="E1450" s="56">
        <v>2019</v>
      </c>
      <c r="F1450" s="56">
        <v>498.08</v>
      </c>
      <c r="G1450" t="s">
        <v>232</v>
      </c>
      <c r="H1450">
        <v>648.48</v>
      </c>
    </row>
    <row r="1451" spans="1:8">
      <c r="A1451" s="220">
        <v>43466</v>
      </c>
      <c r="B1451" s="220">
        <v>43830</v>
      </c>
      <c r="C1451" s="56" t="s">
        <v>5</v>
      </c>
      <c r="D1451" s="56" t="s">
        <v>9</v>
      </c>
      <c r="E1451" s="56">
        <v>2019</v>
      </c>
      <c r="F1451" s="56">
        <v>249.04</v>
      </c>
      <c r="G1451" t="s">
        <v>232</v>
      </c>
      <c r="H1451">
        <v>324.24</v>
      </c>
    </row>
    <row r="1452" spans="1:8">
      <c r="A1452" s="220">
        <v>43578</v>
      </c>
      <c r="B1452" s="220">
        <v>43830</v>
      </c>
      <c r="C1452" s="56" t="s">
        <v>5</v>
      </c>
      <c r="D1452" s="56" t="s">
        <v>9</v>
      </c>
      <c r="E1452" s="56">
        <v>2019</v>
      </c>
      <c r="F1452" s="56">
        <v>171.56</v>
      </c>
      <c r="G1452" t="s">
        <v>232</v>
      </c>
      <c r="H1452">
        <v>223.36</v>
      </c>
    </row>
    <row r="1453" spans="1:8">
      <c r="A1453" s="220">
        <v>43466</v>
      </c>
      <c r="B1453" s="220">
        <v>43830</v>
      </c>
      <c r="C1453" s="56" t="s">
        <v>5</v>
      </c>
      <c r="D1453" s="56" t="s">
        <v>9</v>
      </c>
      <c r="E1453" s="56">
        <v>2019</v>
      </c>
      <c r="F1453" s="56">
        <v>249.04</v>
      </c>
      <c r="G1453" t="s">
        <v>232</v>
      </c>
      <c r="H1453">
        <v>324.24</v>
      </c>
    </row>
    <row r="1454" spans="1:8">
      <c r="A1454" s="220">
        <v>43678</v>
      </c>
      <c r="B1454" s="220">
        <v>43830</v>
      </c>
      <c r="C1454" s="56" t="s">
        <v>5</v>
      </c>
      <c r="D1454" s="56" t="s">
        <v>9</v>
      </c>
      <c r="E1454" s="56">
        <v>2019</v>
      </c>
      <c r="F1454" s="56">
        <v>412.46</v>
      </c>
      <c r="G1454" t="s">
        <v>232</v>
      </c>
      <c r="H1454">
        <v>537</v>
      </c>
    </row>
    <row r="1455" spans="1:8">
      <c r="A1455" s="220">
        <v>43831</v>
      </c>
      <c r="B1455" s="220">
        <v>44196</v>
      </c>
      <c r="C1455" s="56" t="s">
        <v>5</v>
      </c>
      <c r="D1455" s="56" t="s">
        <v>9</v>
      </c>
      <c r="E1455" s="56">
        <v>2020</v>
      </c>
      <c r="F1455" s="56">
        <v>1136.68</v>
      </c>
      <c r="G1455" t="s">
        <v>232</v>
      </c>
      <c r="H1455">
        <v>1581.72</v>
      </c>
    </row>
    <row r="1456" spans="1:8">
      <c r="A1456" s="220">
        <v>43466</v>
      </c>
      <c r="B1456" s="220">
        <v>43830</v>
      </c>
      <c r="C1456" s="56" t="s">
        <v>5</v>
      </c>
      <c r="D1456" s="56" t="s">
        <v>9</v>
      </c>
      <c r="E1456" s="56">
        <v>2019</v>
      </c>
      <c r="F1456" s="56">
        <v>1609.37</v>
      </c>
      <c r="G1456" t="s">
        <v>232</v>
      </c>
      <c r="H1456">
        <v>2095.3200000000002</v>
      </c>
    </row>
    <row r="1457" spans="1:8">
      <c r="A1457" s="220">
        <v>43831</v>
      </c>
      <c r="B1457" s="220">
        <v>44196</v>
      </c>
      <c r="C1457" s="56" t="s">
        <v>5</v>
      </c>
      <c r="D1457" s="56" t="s">
        <v>9</v>
      </c>
      <c r="E1457" s="56">
        <v>2020</v>
      </c>
      <c r="F1457" s="56">
        <v>236.46</v>
      </c>
      <c r="G1457" t="s">
        <v>232</v>
      </c>
      <c r="H1457">
        <v>329.04</v>
      </c>
    </row>
    <row r="1458" spans="1:8">
      <c r="A1458" s="220">
        <v>43831</v>
      </c>
      <c r="B1458" s="220">
        <v>44196</v>
      </c>
      <c r="C1458" s="56" t="s">
        <v>5</v>
      </c>
      <c r="D1458" s="56" t="s">
        <v>9</v>
      </c>
      <c r="E1458" s="56">
        <v>2020</v>
      </c>
      <c r="F1458" s="56">
        <v>588.22</v>
      </c>
      <c r="G1458" t="s">
        <v>232</v>
      </c>
      <c r="H1458">
        <v>818.52</v>
      </c>
    </row>
    <row r="1459" spans="1:8">
      <c r="A1459" s="220">
        <v>43678</v>
      </c>
      <c r="B1459" s="220">
        <v>43830</v>
      </c>
      <c r="C1459" s="56" t="s">
        <v>5</v>
      </c>
      <c r="D1459" s="56" t="s">
        <v>9</v>
      </c>
      <c r="E1459" s="56">
        <v>2019</v>
      </c>
      <c r="F1459" s="56">
        <v>207.53</v>
      </c>
      <c r="G1459" t="s">
        <v>232</v>
      </c>
      <c r="H1459">
        <v>270.2</v>
      </c>
    </row>
    <row r="1460" spans="1:8">
      <c r="A1460" s="220">
        <v>43831</v>
      </c>
      <c r="B1460" s="220">
        <v>44196</v>
      </c>
      <c r="C1460" s="56" t="s">
        <v>5</v>
      </c>
      <c r="D1460" s="56" t="s">
        <v>9</v>
      </c>
      <c r="E1460" s="56">
        <v>2020</v>
      </c>
      <c r="F1460" s="56">
        <v>588.22</v>
      </c>
      <c r="G1460" t="s">
        <v>232</v>
      </c>
      <c r="H1460">
        <v>818.52</v>
      </c>
    </row>
    <row r="1461" spans="1:8">
      <c r="A1461" s="220">
        <v>43466</v>
      </c>
      <c r="B1461" s="220">
        <v>43769</v>
      </c>
      <c r="C1461" s="56" t="s">
        <v>5</v>
      </c>
      <c r="D1461" s="56" t="s">
        <v>9</v>
      </c>
      <c r="E1461" s="56">
        <v>2019</v>
      </c>
      <c r="F1461" s="56">
        <v>249.04</v>
      </c>
      <c r="G1461" t="s">
        <v>232</v>
      </c>
      <c r="H1461">
        <v>324.24</v>
      </c>
    </row>
    <row r="1462" spans="1:8">
      <c r="A1462" s="220">
        <v>43678</v>
      </c>
      <c r="B1462" s="220">
        <v>43830</v>
      </c>
      <c r="C1462" s="56" t="s">
        <v>5</v>
      </c>
      <c r="D1462" s="56" t="s">
        <v>9</v>
      </c>
      <c r="E1462" s="56">
        <v>2019</v>
      </c>
      <c r="F1462" s="56">
        <v>311.3</v>
      </c>
      <c r="G1462" t="s">
        <v>232</v>
      </c>
      <c r="H1462">
        <v>405.3</v>
      </c>
    </row>
    <row r="1463" spans="1:8">
      <c r="A1463" s="220">
        <v>43466</v>
      </c>
      <c r="B1463" s="220">
        <v>43677</v>
      </c>
      <c r="C1463" s="56" t="s">
        <v>5</v>
      </c>
      <c r="D1463" s="56" t="s">
        <v>9</v>
      </c>
      <c r="E1463" s="56">
        <v>2019</v>
      </c>
      <c r="F1463" s="56">
        <v>498.08</v>
      </c>
      <c r="G1463" t="s">
        <v>232</v>
      </c>
      <c r="H1463">
        <v>648.48</v>
      </c>
    </row>
    <row r="1464" spans="1:8">
      <c r="A1464" s="220">
        <v>43862</v>
      </c>
      <c r="B1464" s="220">
        <v>44165</v>
      </c>
      <c r="C1464" s="56" t="s">
        <v>5</v>
      </c>
      <c r="D1464" s="56" t="s">
        <v>9</v>
      </c>
      <c r="E1464" s="56">
        <v>2020</v>
      </c>
      <c r="F1464" s="56">
        <v>78.819999999999993</v>
      </c>
      <c r="G1464" t="s">
        <v>232</v>
      </c>
      <c r="H1464">
        <v>109.68</v>
      </c>
    </row>
    <row r="1465" spans="1:8">
      <c r="A1465" s="220">
        <v>43466</v>
      </c>
      <c r="B1465" s="220">
        <v>43830</v>
      </c>
      <c r="C1465" s="56" t="s">
        <v>5</v>
      </c>
      <c r="D1465" s="56" t="s">
        <v>9</v>
      </c>
      <c r="E1465" s="56">
        <v>2019</v>
      </c>
      <c r="F1465" s="56">
        <v>1481.71</v>
      </c>
      <c r="G1465" t="s">
        <v>232</v>
      </c>
      <c r="H1465">
        <v>1929.12</v>
      </c>
    </row>
    <row r="1466" spans="1:8">
      <c r="A1466" s="220">
        <v>43831</v>
      </c>
      <c r="B1466" s="220">
        <v>44196</v>
      </c>
      <c r="C1466" s="56" t="s">
        <v>5</v>
      </c>
      <c r="D1466" s="56" t="s">
        <v>9</v>
      </c>
      <c r="E1466" s="56">
        <v>2020</v>
      </c>
      <c r="F1466" s="56">
        <v>236.46</v>
      </c>
      <c r="G1466" t="s">
        <v>232</v>
      </c>
      <c r="H1466">
        <v>329.04</v>
      </c>
    </row>
    <row r="1467" spans="1:8">
      <c r="A1467" s="220">
        <v>43831</v>
      </c>
      <c r="B1467" s="220">
        <v>44196</v>
      </c>
      <c r="C1467" s="56" t="s">
        <v>5</v>
      </c>
      <c r="D1467" s="56" t="s">
        <v>9</v>
      </c>
      <c r="E1467" s="56">
        <v>2020</v>
      </c>
      <c r="F1467" s="56">
        <v>703.52</v>
      </c>
      <c r="G1467" t="s">
        <v>232</v>
      </c>
      <c r="H1467">
        <v>978.96</v>
      </c>
    </row>
    <row r="1468" spans="1:8">
      <c r="A1468" s="220">
        <v>43466</v>
      </c>
      <c r="B1468" s="220">
        <v>43830</v>
      </c>
      <c r="C1468" s="56" t="s">
        <v>5</v>
      </c>
      <c r="D1468" s="56" t="s">
        <v>9</v>
      </c>
      <c r="E1468" s="56">
        <v>2019</v>
      </c>
      <c r="F1468" s="56">
        <v>491.81</v>
      </c>
      <c r="G1468" t="s">
        <v>232</v>
      </c>
      <c r="H1468">
        <v>640.32000000000005</v>
      </c>
    </row>
    <row r="1469" spans="1:8">
      <c r="A1469" s="220">
        <v>43922</v>
      </c>
      <c r="B1469" s="220">
        <v>44196</v>
      </c>
      <c r="C1469" s="56" t="s">
        <v>5</v>
      </c>
      <c r="D1469" s="56" t="s">
        <v>9</v>
      </c>
      <c r="E1469" s="56">
        <v>2020</v>
      </c>
      <c r="F1469" s="56">
        <v>733.89</v>
      </c>
      <c r="G1469" t="s">
        <v>232</v>
      </c>
      <c r="H1469">
        <v>1021.23</v>
      </c>
    </row>
    <row r="1470" spans="1:8">
      <c r="A1470" s="220">
        <v>43831</v>
      </c>
      <c r="B1470" s="220">
        <v>44196</v>
      </c>
      <c r="C1470" s="56" t="s">
        <v>5</v>
      </c>
      <c r="D1470" s="56" t="s">
        <v>9</v>
      </c>
      <c r="E1470" s="56">
        <v>2020</v>
      </c>
      <c r="F1470" s="56">
        <v>467.06</v>
      </c>
      <c r="G1470" t="s">
        <v>232</v>
      </c>
      <c r="H1470">
        <v>649.91999999999996</v>
      </c>
    </row>
    <row r="1471" spans="1:8">
      <c r="A1471" s="220">
        <v>43831</v>
      </c>
      <c r="B1471" s="220">
        <v>44196</v>
      </c>
      <c r="C1471" s="56" t="s">
        <v>5</v>
      </c>
      <c r="D1471" s="56" t="s">
        <v>9</v>
      </c>
      <c r="E1471" s="56">
        <v>2020</v>
      </c>
      <c r="F1471" s="56">
        <v>236.46</v>
      </c>
      <c r="G1471" t="s">
        <v>232</v>
      </c>
      <c r="H1471">
        <v>329.04</v>
      </c>
    </row>
    <row r="1472" spans="1:8">
      <c r="A1472" s="220">
        <v>43800</v>
      </c>
      <c r="B1472" s="220">
        <v>43830</v>
      </c>
      <c r="C1472" s="56" t="s">
        <v>5</v>
      </c>
      <c r="D1472" s="56" t="s">
        <v>9</v>
      </c>
      <c r="E1472" s="56">
        <v>2019</v>
      </c>
      <c r="F1472" s="56">
        <v>20.38</v>
      </c>
      <c r="G1472" t="s">
        <v>232</v>
      </c>
      <c r="H1472">
        <v>26.54</v>
      </c>
    </row>
    <row r="1473" spans="1:8">
      <c r="A1473" s="220">
        <v>43466</v>
      </c>
      <c r="B1473" s="220">
        <v>43830</v>
      </c>
      <c r="C1473" s="56" t="s">
        <v>5</v>
      </c>
      <c r="D1473" s="56" t="s">
        <v>9</v>
      </c>
      <c r="E1473" s="56">
        <v>2019</v>
      </c>
      <c r="F1473" s="56">
        <v>249.04</v>
      </c>
      <c r="G1473" t="s">
        <v>232</v>
      </c>
      <c r="H1473">
        <v>324.24</v>
      </c>
    </row>
    <row r="1474" spans="1:8">
      <c r="A1474" s="220">
        <v>43831</v>
      </c>
      <c r="B1474" s="220">
        <v>44196</v>
      </c>
      <c r="C1474" s="56" t="s">
        <v>5</v>
      </c>
      <c r="D1474" s="56" t="s">
        <v>9</v>
      </c>
      <c r="E1474" s="56">
        <v>2020</v>
      </c>
      <c r="F1474" s="56">
        <v>467.06</v>
      </c>
      <c r="G1474" t="s">
        <v>232</v>
      </c>
      <c r="H1474">
        <v>649.91999999999996</v>
      </c>
    </row>
    <row r="1475" spans="1:8">
      <c r="A1475" s="220">
        <v>43831</v>
      </c>
      <c r="B1475" s="220">
        <v>44196</v>
      </c>
      <c r="C1475" s="56" t="s">
        <v>5</v>
      </c>
      <c r="D1475" s="56" t="s">
        <v>9</v>
      </c>
      <c r="E1475" s="56">
        <v>2020</v>
      </c>
      <c r="F1475" s="56">
        <v>703.52</v>
      </c>
      <c r="G1475" t="s">
        <v>232</v>
      </c>
      <c r="H1475">
        <v>978.96</v>
      </c>
    </row>
    <row r="1476" spans="1:8">
      <c r="A1476" s="220">
        <v>43831</v>
      </c>
      <c r="B1476" s="220">
        <v>44196</v>
      </c>
      <c r="C1476" s="56" t="s">
        <v>5</v>
      </c>
      <c r="D1476" s="56" t="s">
        <v>9</v>
      </c>
      <c r="E1476" s="56">
        <v>2020</v>
      </c>
      <c r="F1476" s="56">
        <v>236.46</v>
      </c>
      <c r="G1476" t="s">
        <v>232</v>
      </c>
      <c r="H1476">
        <v>329.04</v>
      </c>
    </row>
    <row r="1477" spans="1:8">
      <c r="A1477" s="220">
        <v>43466</v>
      </c>
      <c r="B1477" s="220">
        <v>43830</v>
      </c>
      <c r="C1477" s="56" t="s">
        <v>5</v>
      </c>
      <c r="D1477" s="56" t="s">
        <v>9</v>
      </c>
      <c r="E1477" s="56">
        <v>2019</v>
      </c>
      <c r="F1477" s="56">
        <v>983.63</v>
      </c>
      <c r="G1477" t="s">
        <v>232</v>
      </c>
      <c r="H1477">
        <v>1280.6400000000001</v>
      </c>
    </row>
    <row r="1478" spans="1:8">
      <c r="A1478" s="220">
        <v>43466</v>
      </c>
      <c r="B1478" s="220">
        <v>43616</v>
      </c>
      <c r="C1478" s="56" t="s">
        <v>5</v>
      </c>
      <c r="D1478" s="56" t="s">
        <v>9</v>
      </c>
      <c r="E1478" s="56">
        <v>2019</v>
      </c>
      <c r="F1478" s="56">
        <v>46.35</v>
      </c>
      <c r="G1478" t="s">
        <v>232</v>
      </c>
      <c r="H1478">
        <v>60.35</v>
      </c>
    </row>
    <row r="1479" spans="1:8">
      <c r="A1479" s="220">
        <v>43831</v>
      </c>
      <c r="B1479" s="220">
        <v>44196</v>
      </c>
      <c r="C1479" s="56" t="s">
        <v>5</v>
      </c>
      <c r="D1479" s="56" t="s">
        <v>9</v>
      </c>
      <c r="E1479" s="56">
        <v>2020</v>
      </c>
      <c r="F1479" s="56">
        <v>351.76</v>
      </c>
      <c r="G1479" t="s">
        <v>232</v>
      </c>
      <c r="H1479">
        <v>489.48</v>
      </c>
    </row>
    <row r="1480" spans="1:8">
      <c r="A1480" s="220">
        <v>43647</v>
      </c>
      <c r="B1480" s="220">
        <v>43677</v>
      </c>
      <c r="C1480" s="56" t="s">
        <v>5</v>
      </c>
      <c r="D1480" s="56" t="s">
        <v>9</v>
      </c>
      <c r="E1480" s="56">
        <v>2019</v>
      </c>
      <c r="F1480" s="56">
        <v>22.14</v>
      </c>
      <c r="G1480" t="s">
        <v>232</v>
      </c>
      <c r="H1480">
        <v>28.82</v>
      </c>
    </row>
    <row r="1481" spans="1:8">
      <c r="A1481" s="220">
        <v>43466</v>
      </c>
      <c r="B1481" s="220">
        <v>43830</v>
      </c>
      <c r="C1481" s="56" t="s">
        <v>5</v>
      </c>
      <c r="D1481" s="56" t="s">
        <v>9</v>
      </c>
      <c r="E1481" s="56">
        <v>2019</v>
      </c>
      <c r="F1481" s="56">
        <v>249.04</v>
      </c>
      <c r="G1481" t="s">
        <v>232</v>
      </c>
      <c r="H1481">
        <v>324.24</v>
      </c>
    </row>
    <row r="1482" spans="1:8">
      <c r="A1482" s="220">
        <v>43466</v>
      </c>
      <c r="B1482" s="220">
        <v>43677</v>
      </c>
      <c r="C1482" s="56" t="s">
        <v>5</v>
      </c>
      <c r="D1482" s="56" t="s">
        <v>9</v>
      </c>
      <c r="E1482" s="56">
        <v>2019</v>
      </c>
      <c r="F1482" s="56">
        <v>145.27000000000001</v>
      </c>
      <c r="G1482" t="s">
        <v>232</v>
      </c>
      <c r="H1482">
        <v>189.14</v>
      </c>
    </row>
    <row r="1483" spans="1:8">
      <c r="A1483" s="220">
        <v>43466</v>
      </c>
      <c r="B1483" s="220">
        <v>43830</v>
      </c>
      <c r="C1483" s="56" t="s">
        <v>5</v>
      </c>
      <c r="D1483" s="56" t="s">
        <v>9</v>
      </c>
      <c r="E1483" s="56">
        <v>2019</v>
      </c>
      <c r="F1483" s="56">
        <v>483.77</v>
      </c>
      <c r="G1483" t="s">
        <v>232</v>
      </c>
      <c r="H1483">
        <v>629.85</v>
      </c>
    </row>
    <row r="1484" spans="1:8">
      <c r="A1484" s="220">
        <v>43739</v>
      </c>
      <c r="B1484" s="220">
        <v>43830</v>
      </c>
      <c r="C1484" s="56" t="s">
        <v>5</v>
      </c>
      <c r="D1484" s="56" t="s">
        <v>9</v>
      </c>
      <c r="E1484" s="56">
        <v>2019</v>
      </c>
      <c r="F1484" s="56">
        <v>164.55</v>
      </c>
      <c r="G1484" t="s">
        <v>232</v>
      </c>
      <c r="H1484">
        <v>214.24</v>
      </c>
    </row>
    <row r="1485" spans="1:8">
      <c r="A1485" s="220">
        <v>43831</v>
      </c>
      <c r="B1485" s="220">
        <v>44196</v>
      </c>
      <c r="C1485" s="56" t="s">
        <v>5</v>
      </c>
      <c r="D1485" s="56" t="s">
        <v>9</v>
      </c>
      <c r="E1485" s="56">
        <v>2020</v>
      </c>
      <c r="F1485" s="56">
        <v>703.52</v>
      </c>
      <c r="G1485" t="s">
        <v>232</v>
      </c>
      <c r="H1485">
        <v>978.96</v>
      </c>
    </row>
    <row r="1486" spans="1:8">
      <c r="A1486" s="220">
        <v>43678</v>
      </c>
      <c r="B1486" s="220">
        <v>43708</v>
      </c>
      <c r="C1486" s="56" t="s">
        <v>5</v>
      </c>
      <c r="D1486" s="56" t="s">
        <v>9</v>
      </c>
      <c r="E1486" s="56">
        <v>2019</v>
      </c>
      <c r="F1486" s="56">
        <v>-145.88999999999999</v>
      </c>
      <c r="G1486" t="s">
        <v>232</v>
      </c>
      <c r="H1486">
        <v>-189.94</v>
      </c>
    </row>
    <row r="1487" spans="1:8">
      <c r="A1487" s="220">
        <v>43831</v>
      </c>
      <c r="B1487" s="220">
        <v>44043</v>
      </c>
      <c r="C1487" s="56" t="s">
        <v>5</v>
      </c>
      <c r="D1487" s="56" t="s">
        <v>9</v>
      </c>
      <c r="E1487" s="56">
        <v>2020</v>
      </c>
      <c r="F1487" s="56">
        <v>177.35</v>
      </c>
      <c r="G1487" t="s">
        <v>232</v>
      </c>
      <c r="H1487">
        <v>246.78</v>
      </c>
    </row>
    <row r="1488" spans="1:8">
      <c r="A1488" s="220">
        <v>43831</v>
      </c>
      <c r="B1488" s="220">
        <v>44196</v>
      </c>
      <c r="C1488" s="56" t="s">
        <v>5</v>
      </c>
      <c r="D1488" s="56" t="s">
        <v>9</v>
      </c>
      <c r="E1488" s="56">
        <v>2020</v>
      </c>
      <c r="F1488" s="56">
        <v>939.63</v>
      </c>
      <c r="G1488" t="s">
        <v>232</v>
      </c>
      <c r="H1488">
        <v>1307.52</v>
      </c>
    </row>
    <row r="1489" spans="1:8">
      <c r="A1489" s="220">
        <v>43466</v>
      </c>
      <c r="B1489" s="220">
        <v>43830</v>
      </c>
      <c r="C1489" s="56" t="s">
        <v>5</v>
      </c>
      <c r="D1489" s="56" t="s">
        <v>9</v>
      </c>
      <c r="E1489" s="56">
        <v>2019</v>
      </c>
      <c r="F1489" s="56">
        <v>806.25</v>
      </c>
      <c r="G1489" t="s">
        <v>232</v>
      </c>
      <c r="H1489">
        <v>1049.7</v>
      </c>
    </row>
    <row r="1490" spans="1:8">
      <c r="A1490" s="220">
        <v>43466</v>
      </c>
      <c r="B1490" s="220">
        <v>43830</v>
      </c>
      <c r="C1490" s="56" t="s">
        <v>5</v>
      </c>
      <c r="D1490" s="56" t="s">
        <v>9</v>
      </c>
      <c r="E1490" s="56">
        <v>2019</v>
      </c>
      <c r="F1490" s="56">
        <v>249.04</v>
      </c>
      <c r="G1490" t="s">
        <v>232</v>
      </c>
      <c r="H1490">
        <v>324.24</v>
      </c>
    </row>
    <row r="1491" spans="1:8">
      <c r="A1491" s="220">
        <v>43466</v>
      </c>
      <c r="B1491" s="220">
        <v>43677</v>
      </c>
      <c r="C1491" s="56" t="s">
        <v>5</v>
      </c>
      <c r="D1491" s="56" t="s">
        <v>9</v>
      </c>
      <c r="E1491" s="56">
        <v>2019</v>
      </c>
      <c r="F1491" s="56">
        <v>290.55</v>
      </c>
      <c r="G1491" t="s">
        <v>232</v>
      </c>
      <c r="H1491">
        <v>378.28</v>
      </c>
    </row>
    <row r="1492" spans="1:8">
      <c r="A1492" s="220">
        <v>43647</v>
      </c>
      <c r="B1492" s="220">
        <v>43830</v>
      </c>
      <c r="C1492" s="56" t="s">
        <v>5</v>
      </c>
      <c r="D1492" s="56" t="s">
        <v>9</v>
      </c>
      <c r="E1492" s="56">
        <v>2019</v>
      </c>
      <c r="F1492" s="56">
        <v>124.52</v>
      </c>
      <c r="G1492" t="s">
        <v>232</v>
      </c>
      <c r="H1492">
        <v>162.12</v>
      </c>
    </row>
    <row r="1493" spans="1:8">
      <c r="A1493" s="220">
        <v>43710</v>
      </c>
      <c r="B1493" s="220">
        <v>43738</v>
      </c>
      <c r="C1493" s="56" t="s">
        <v>5</v>
      </c>
      <c r="D1493" s="56" t="s">
        <v>9</v>
      </c>
      <c r="E1493" s="56">
        <v>2019</v>
      </c>
      <c r="F1493" s="56">
        <v>162.56</v>
      </c>
      <c r="G1493" t="s">
        <v>232</v>
      </c>
      <c r="H1493">
        <v>211.65</v>
      </c>
    </row>
    <row r="1494" spans="1:8">
      <c r="A1494" s="220">
        <v>43466</v>
      </c>
      <c r="B1494" s="220">
        <v>43830</v>
      </c>
      <c r="C1494" s="56" t="s">
        <v>5</v>
      </c>
      <c r="D1494" s="56" t="s">
        <v>9</v>
      </c>
      <c r="E1494" s="56">
        <v>2019</v>
      </c>
      <c r="F1494" s="56">
        <v>498.08</v>
      </c>
      <c r="G1494" t="s">
        <v>232</v>
      </c>
      <c r="H1494">
        <v>648.48</v>
      </c>
    </row>
    <row r="1495" spans="1:8">
      <c r="A1495" s="220">
        <v>43678</v>
      </c>
      <c r="B1495" s="220">
        <v>43830</v>
      </c>
      <c r="C1495" s="56" t="s">
        <v>5</v>
      </c>
      <c r="D1495" s="56" t="s">
        <v>9</v>
      </c>
      <c r="E1495" s="56">
        <v>2019</v>
      </c>
      <c r="F1495" s="56">
        <v>154.34</v>
      </c>
      <c r="G1495" t="s">
        <v>232</v>
      </c>
      <c r="H1495">
        <v>200.95</v>
      </c>
    </row>
    <row r="1496" spans="1:8">
      <c r="A1496" s="220">
        <v>43595</v>
      </c>
      <c r="B1496" s="220">
        <v>43616</v>
      </c>
      <c r="C1496" s="56" t="s">
        <v>5</v>
      </c>
      <c r="D1496" s="56" t="s">
        <v>9</v>
      </c>
      <c r="E1496" s="56">
        <v>2019</v>
      </c>
      <c r="F1496" s="56">
        <v>292.20999999999998</v>
      </c>
      <c r="G1496" t="s">
        <v>232</v>
      </c>
      <c r="H1496">
        <v>380.45</v>
      </c>
    </row>
    <row r="1497" spans="1:8">
      <c r="A1497" s="220">
        <v>43800</v>
      </c>
      <c r="B1497" s="220">
        <v>43830</v>
      </c>
      <c r="C1497" s="56" t="s">
        <v>5</v>
      </c>
      <c r="D1497" s="56" t="s">
        <v>9</v>
      </c>
      <c r="E1497" s="56">
        <v>2019</v>
      </c>
      <c r="F1497" s="56">
        <v>41.81</v>
      </c>
      <c r="G1497" t="s">
        <v>232</v>
      </c>
      <c r="H1497">
        <v>54.44</v>
      </c>
    </row>
    <row r="1498" spans="1:8">
      <c r="A1498" s="220">
        <v>43466</v>
      </c>
      <c r="B1498" s="220">
        <v>43830</v>
      </c>
      <c r="C1498" s="56" t="s">
        <v>5</v>
      </c>
      <c r="D1498" s="56" t="s">
        <v>9</v>
      </c>
      <c r="E1498" s="56">
        <v>2019</v>
      </c>
      <c r="F1498" s="56">
        <v>788.63</v>
      </c>
      <c r="G1498" t="s">
        <v>232</v>
      </c>
      <c r="H1498">
        <v>1026.76</v>
      </c>
    </row>
    <row r="1499" spans="1:8">
      <c r="A1499" s="220">
        <v>43466</v>
      </c>
      <c r="B1499" s="220">
        <v>43830</v>
      </c>
      <c r="C1499" s="56" t="s">
        <v>5</v>
      </c>
      <c r="D1499" s="56" t="s">
        <v>9</v>
      </c>
      <c r="E1499" s="56">
        <v>2019</v>
      </c>
      <c r="F1499" s="56">
        <v>518.84</v>
      </c>
      <c r="G1499" t="s">
        <v>232</v>
      </c>
      <c r="H1499">
        <v>675.5</v>
      </c>
    </row>
    <row r="1500" spans="1:8">
      <c r="A1500" s="220">
        <v>43940</v>
      </c>
      <c r="B1500" s="220">
        <v>44196</v>
      </c>
      <c r="C1500" s="56" t="s">
        <v>5</v>
      </c>
      <c r="D1500" s="56" t="s">
        <v>9</v>
      </c>
      <c r="E1500" s="56">
        <v>2020</v>
      </c>
      <c r="F1500" s="56">
        <v>647.23</v>
      </c>
      <c r="G1500" t="s">
        <v>232</v>
      </c>
      <c r="H1500">
        <v>900.64</v>
      </c>
    </row>
    <row r="1501" spans="1:8">
      <c r="A1501" s="220">
        <v>43800</v>
      </c>
      <c r="B1501" s="220">
        <v>43830</v>
      </c>
      <c r="C1501" s="56" t="s">
        <v>5</v>
      </c>
      <c r="D1501" s="56" t="s">
        <v>9</v>
      </c>
      <c r="E1501" s="56">
        <v>2019</v>
      </c>
      <c r="F1501" s="56">
        <v>62.2</v>
      </c>
      <c r="G1501" t="s">
        <v>232</v>
      </c>
      <c r="H1501">
        <v>80.98</v>
      </c>
    </row>
    <row r="1502" spans="1:8">
      <c r="A1502" s="220">
        <v>43831</v>
      </c>
      <c r="B1502" s="220">
        <v>44074</v>
      </c>
      <c r="C1502" s="56" t="s">
        <v>5</v>
      </c>
      <c r="D1502" s="56" t="s">
        <v>9</v>
      </c>
      <c r="E1502" s="56">
        <v>2020</v>
      </c>
      <c r="F1502" s="56">
        <v>124.8</v>
      </c>
      <c r="G1502" t="s">
        <v>232</v>
      </c>
      <c r="H1502">
        <v>173.66</v>
      </c>
    </row>
    <row r="1503" spans="1:8">
      <c r="A1503" s="220">
        <v>43831</v>
      </c>
      <c r="B1503" s="220">
        <v>44196</v>
      </c>
      <c r="C1503" s="56" t="s">
        <v>5</v>
      </c>
      <c r="D1503" s="56" t="s">
        <v>9</v>
      </c>
      <c r="E1503" s="56">
        <v>2020</v>
      </c>
      <c r="F1503" s="56">
        <v>588.22</v>
      </c>
      <c r="G1503" t="s">
        <v>232</v>
      </c>
      <c r="H1503">
        <v>818.52</v>
      </c>
    </row>
    <row r="1504" spans="1:8">
      <c r="A1504" s="220">
        <v>43466</v>
      </c>
      <c r="B1504" s="220">
        <v>43830</v>
      </c>
      <c r="C1504" s="56" t="s">
        <v>5</v>
      </c>
      <c r="D1504" s="56" t="s">
        <v>9</v>
      </c>
      <c r="E1504" s="56">
        <v>2019</v>
      </c>
      <c r="F1504" s="56">
        <v>249.04</v>
      </c>
      <c r="G1504" t="s">
        <v>232</v>
      </c>
      <c r="H1504">
        <v>324.24</v>
      </c>
    </row>
    <row r="1505" spans="1:8">
      <c r="A1505" s="220">
        <v>43831</v>
      </c>
      <c r="B1505" s="220">
        <v>44196</v>
      </c>
      <c r="C1505" s="56" t="s">
        <v>5</v>
      </c>
      <c r="D1505" s="56" t="s">
        <v>9</v>
      </c>
      <c r="E1505" s="56">
        <v>2020</v>
      </c>
      <c r="F1505" s="56">
        <v>236.46</v>
      </c>
      <c r="G1505" t="s">
        <v>232</v>
      </c>
      <c r="H1505">
        <v>329.04</v>
      </c>
    </row>
    <row r="1506" spans="1:8">
      <c r="A1506" s="220">
        <v>43831</v>
      </c>
      <c r="B1506" s="220">
        <v>44196</v>
      </c>
      <c r="C1506" s="56" t="s">
        <v>5</v>
      </c>
      <c r="D1506" s="56" t="s">
        <v>9</v>
      </c>
      <c r="E1506" s="56">
        <v>2020</v>
      </c>
      <c r="F1506" s="56">
        <v>236.46</v>
      </c>
      <c r="G1506" t="s">
        <v>232</v>
      </c>
      <c r="H1506">
        <v>329.04</v>
      </c>
    </row>
    <row r="1507" spans="1:8">
      <c r="A1507" s="220">
        <v>43514</v>
      </c>
      <c r="B1507" s="220">
        <v>43830</v>
      </c>
      <c r="C1507" s="56" t="s">
        <v>5</v>
      </c>
      <c r="D1507" s="56" t="s">
        <v>9</v>
      </c>
      <c r="E1507" s="56">
        <v>2019</v>
      </c>
      <c r="F1507" s="56">
        <v>664.58</v>
      </c>
      <c r="G1507" t="s">
        <v>232</v>
      </c>
      <c r="H1507">
        <v>865.25</v>
      </c>
    </row>
    <row r="1508" spans="1:8">
      <c r="A1508" s="220">
        <v>43647</v>
      </c>
      <c r="B1508" s="220">
        <v>43830</v>
      </c>
      <c r="C1508" s="56" t="s">
        <v>5</v>
      </c>
      <c r="D1508" s="56" t="s">
        <v>9</v>
      </c>
      <c r="E1508" s="56">
        <v>2019</v>
      </c>
      <c r="F1508" s="56">
        <v>185.21</v>
      </c>
      <c r="G1508" t="s">
        <v>232</v>
      </c>
      <c r="H1508">
        <v>241.14</v>
      </c>
    </row>
    <row r="1509" spans="1:8">
      <c r="A1509" s="220">
        <v>43466</v>
      </c>
      <c r="B1509" s="220">
        <v>43830</v>
      </c>
      <c r="C1509" s="56" t="s">
        <v>5</v>
      </c>
      <c r="D1509" s="56" t="s">
        <v>9</v>
      </c>
      <c r="E1509" s="56">
        <v>2019</v>
      </c>
      <c r="F1509" s="56">
        <v>498.08</v>
      </c>
      <c r="G1509" t="s">
        <v>232</v>
      </c>
      <c r="H1509">
        <v>648.48</v>
      </c>
    </row>
    <row r="1510" spans="1:8">
      <c r="A1510" s="220">
        <v>43831</v>
      </c>
      <c r="B1510" s="220">
        <v>44196</v>
      </c>
      <c r="C1510" s="56" t="s">
        <v>5</v>
      </c>
      <c r="D1510" s="56" t="s">
        <v>9</v>
      </c>
      <c r="E1510" s="56">
        <v>2020</v>
      </c>
      <c r="F1510" s="56">
        <v>703.52</v>
      </c>
      <c r="G1510" t="s">
        <v>232</v>
      </c>
      <c r="H1510">
        <v>978.96</v>
      </c>
    </row>
    <row r="1511" spans="1:8">
      <c r="A1511" s="220">
        <v>43831</v>
      </c>
      <c r="B1511" s="220">
        <v>44196</v>
      </c>
      <c r="C1511" s="56" t="s">
        <v>5</v>
      </c>
      <c r="D1511" s="56" t="s">
        <v>9</v>
      </c>
      <c r="E1511" s="56">
        <v>2020</v>
      </c>
      <c r="F1511" s="56">
        <v>588.22</v>
      </c>
      <c r="G1511" t="s">
        <v>232</v>
      </c>
      <c r="H1511">
        <v>818.52</v>
      </c>
    </row>
    <row r="1512" spans="1:8">
      <c r="A1512" s="220">
        <v>43466</v>
      </c>
      <c r="B1512" s="220">
        <v>43830</v>
      </c>
      <c r="C1512" s="56" t="s">
        <v>5</v>
      </c>
      <c r="D1512" s="56" t="s">
        <v>9</v>
      </c>
      <c r="E1512" s="56">
        <v>2019</v>
      </c>
      <c r="F1512" s="56">
        <v>740.86</v>
      </c>
      <c r="G1512" t="s">
        <v>232</v>
      </c>
      <c r="H1512">
        <v>964.56</v>
      </c>
    </row>
    <row r="1513" spans="1:8">
      <c r="A1513" s="220">
        <v>43466</v>
      </c>
      <c r="B1513" s="220">
        <v>43830</v>
      </c>
      <c r="C1513" s="56" t="s">
        <v>5</v>
      </c>
      <c r="D1513" s="56" t="s">
        <v>9</v>
      </c>
      <c r="E1513" s="56">
        <v>2019</v>
      </c>
      <c r="F1513" s="56">
        <v>249.04</v>
      </c>
      <c r="G1513" t="s">
        <v>232</v>
      </c>
      <c r="H1513">
        <v>324.24</v>
      </c>
    </row>
    <row r="1514" spans="1:8">
      <c r="A1514" s="220">
        <v>43869</v>
      </c>
      <c r="B1514" s="220">
        <v>44196</v>
      </c>
      <c r="C1514" s="56" t="s">
        <v>5</v>
      </c>
      <c r="D1514" s="56" t="s">
        <v>9</v>
      </c>
      <c r="E1514" s="56">
        <v>2020</v>
      </c>
      <c r="F1514" s="56">
        <v>526.12</v>
      </c>
      <c r="G1514" t="s">
        <v>232</v>
      </c>
      <c r="H1514">
        <v>732.11</v>
      </c>
    </row>
    <row r="1515" spans="1:8">
      <c r="A1515" s="220">
        <v>43831</v>
      </c>
      <c r="B1515" s="220">
        <v>43890</v>
      </c>
      <c r="C1515" s="56" t="s">
        <v>5</v>
      </c>
      <c r="D1515" s="56" t="s">
        <v>9</v>
      </c>
      <c r="E1515" s="56">
        <v>2020</v>
      </c>
      <c r="F1515" s="56">
        <v>58.63</v>
      </c>
      <c r="G1515" t="s">
        <v>232</v>
      </c>
      <c r="H1515">
        <v>81.58</v>
      </c>
    </row>
    <row r="1516" spans="1:8">
      <c r="A1516" s="220">
        <v>43466</v>
      </c>
      <c r="B1516" s="220">
        <v>43677</v>
      </c>
      <c r="C1516" s="56" t="s">
        <v>5</v>
      </c>
      <c r="D1516" s="56" t="s">
        <v>9</v>
      </c>
      <c r="E1516" s="56">
        <v>2019</v>
      </c>
      <c r="F1516" s="56">
        <v>286.89</v>
      </c>
      <c r="G1516" t="s">
        <v>232</v>
      </c>
      <c r="H1516">
        <v>373.52</v>
      </c>
    </row>
    <row r="1517" spans="1:8">
      <c r="A1517" s="220">
        <v>43466</v>
      </c>
      <c r="B1517" s="220">
        <v>43830</v>
      </c>
      <c r="C1517" s="56" t="s">
        <v>5</v>
      </c>
      <c r="D1517" s="56" t="s">
        <v>9</v>
      </c>
      <c r="E1517" s="56">
        <v>2019</v>
      </c>
      <c r="F1517" s="56">
        <v>1117.55</v>
      </c>
      <c r="G1517" t="s">
        <v>232</v>
      </c>
      <c r="H1517">
        <v>1455</v>
      </c>
    </row>
    <row r="1518" spans="1:8">
      <c r="A1518" s="220">
        <v>43466</v>
      </c>
      <c r="B1518" s="220">
        <v>43830</v>
      </c>
      <c r="C1518" s="56" t="s">
        <v>5</v>
      </c>
      <c r="D1518" s="56" t="s">
        <v>9</v>
      </c>
      <c r="E1518" s="56">
        <v>2019</v>
      </c>
      <c r="F1518" s="56">
        <v>747.12</v>
      </c>
      <c r="G1518" t="s">
        <v>232</v>
      </c>
      <c r="H1518">
        <v>972.72</v>
      </c>
    </row>
    <row r="1519" spans="1:8">
      <c r="A1519" s="220">
        <v>43466</v>
      </c>
      <c r="B1519" s="220">
        <v>43830</v>
      </c>
      <c r="C1519" s="56" t="s">
        <v>5</v>
      </c>
      <c r="D1519" s="56" t="s">
        <v>9</v>
      </c>
      <c r="E1519" s="56">
        <v>2019</v>
      </c>
      <c r="F1519" s="56">
        <v>498.08</v>
      </c>
      <c r="G1519" t="s">
        <v>232</v>
      </c>
      <c r="H1519">
        <v>648.48</v>
      </c>
    </row>
    <row r="1520" spans="1:8">
      <c r="A1520" s="220">
        <v>43574</v>
      </c>
      <c r="B1520" s="220">
        <v>43585</v>
      </c>
      <c r="C1520" s="56" t="s">
        <v>5</v>
      </c>
      <c r="D1520" s="56" t="s">
        <v>9</v>
      </c>
      <c r="E1520" s="56">
        <v>2019</v>
      </c>
      <c r="F1520" s="56">
        <v>-175.01</v>
      </c>
      <c r="G1520" t="s">
        <v>232</v>
      </c>
      <c r="H1520">
        <v>-227.86</v>
      </c>
    </row>
    <row r="1521" spans="1:8">
      <c r="A1521" s="220">
        <v>43831</v>
      </c>
      <c r="B1521" s="220">
        <v>43921</v>
      </c>
      <c r="C1521" s="56" t="s">
        <v>5</v>
      </c>
      <c r="D1521" s="56" t="s">
        <v>9</v>
      </c>
      <c r="E1521" s="56">
        <v>2020</v>
      </c>
      <c r="F1521" s="56">
        <v>59.12</v>
      </c>
      <c r="G1521" t="s">
        <v>232</v>
      </c>
      <c r="H1521">
        <v>82.26</v>
      </c>
    </row>
    <row r="1522" spans="1:8">
      <c r="A1522" s="220">
        <v>43831</v>
      </c>
      <c r="B1522" s="220">
        <v>44135</v>
      </c>
      <c r="C1522" s="56" t="s">
        <v>5</v>
      </c>
      <c r="D1522" s="56" t="s">
        <v>9</v>
      </c>
      <c r="E1522" s="56">
        <v>2020</v>
      </c>
      <c r="F1522" s="56">
        <v>467.06</v>
      </c>
      <c r="G1522" t="s">
        <v>232</v>
      </c>
      <c r="H1522">
        <v>649.91999999999996</v>
      </c>
    </row>
    <row r="1523" spans="1:8">
      <c r="A1523" s="220">
        <v>43466</v>
      </c>
      <c r="B1523" s="220">
        <v>43830</v>
      </c>
      <c r="C1523" s="56" t="s">
        <v>5</v>
      </c>
      <c r="D1523" s="56" t="s">
        <v>9</v>
      </c>
      <c r="E1523" s="56">
        <v>2019</v>
      </c>
      <c r="F1523" s="56">
        <v>740.86</v>
      </c>
      <c r="G1523" t="s">
        <v>232</v>
      </c>
      <c r="H1523">
        <v>964.56</v>
      </c>
    </row>
    <row r="1524" spans="1:8">
      <c r="A1524" s="220">
        <v>43466</v>
      </c>
      <c r="B1524" s="220">
        <v>43830</v>
      </c>
      <c r="C1524" s="56" t="s">
        <v>5</v>
      </c>
      <c r="D1524" s="56" t="s">
        <v>9</v>
      </c>
      <c r="E1524" s="56">
        <v>2019</v>
      </c>
      <c r="F1524" s="56">
        <v>1427.29</v>
      </c>
      <c r="G1524" t="s">
        <v>232</v>
      </c>
      <c r="H1524">
        <v>1858.26</v>
      </c>
    </row>
    <row r="1525" spans="1:8">
      <c r="A1525" s="220">
        <v>43466</v>
      </c>
      <c r="B1525" s="220">
        <v>43830</v>
      </c>
      <c r="C1525" s="56" t="s">
        <v>5</v>
      </c>
      <c r="D1525" s="56" t="s">
        <v>9</v>
      </c>
      <c r="E1525" s="56">
        <v>2019</v>
      </c>
      <c r="F1525" s="56">
        <v>249.04</v>
      </c>
      <c r="G1525" t="s">
        <v>232</v>
      </c>
      <c r="H1525">
        <v>324.24</v>
      </c>
    </row>
    <row r="1526" spans="1:8">
      <c r="A1526" s="220">
        <v>43831</v>
      </c>
      <c r="B1526" s="220">
        <v>44196</v>
      </c>
      <c r="C1526" s="56" t="s">
        <v>5</v>
      </c>
      <c r="D1526" s="56" t="s">
        <v>9</v>
      </c>
      <c r="E1526" s="56">
        <v>2020</v>
      </c>
      <c r="F1526" s="56">
        <v>236.46</v>
      </c>
      <c r="G1526" t="s">
        <v>232</v>
      </c>
      <c r="H1526">
        <v>329.04</v>
      </c>
    </row>
    <row r="1527" spans="1:8">
      <c r="A1527" s="220">
        <v>43831</v>
      </c>
      <c r="B1527" s="220">
        <v>44196</v>
      </c>
      <c r="C1527" s="56" t="s">
        <v>5</v>
      </c>
      <c r="D1527" s="56" t="s">
        <v>9</v>
      </c>
      <c r="E1527" s="56">
        <v>2020</v>
      </c>
      <c r="F1527" s="56">
        <v>472.92</v>
      </c>
      <c r="G1527" t="s">
        <v>232</v>
      </c>
      <c r="H1527">
        <v>658.08</v>
      </c>
    </row>
    <row r="1528" spans="1:8">
      <c r="A1528" s="220">
        <v>43466</v>
      </c>
      <c r="B1528" s="220">
        <v>43830</v>
      </c>
      <c r="C1528" s="56" t="s">
        <v>5</v>
      </c>
      <c r="D1528" s="56" t="s">
        <v>9</v>
      </c>
      <c r="E1528" s="56">
        <v>2019</v>
      </c>
      <c r="F1528" s="56">
        <v>249.04</v>
      </c>
      <c r="G1528" t="s">
        <v>232</v>
      </c>
      <c r="H1528">
        <v>324.24</v>
      </c>
    </row>
    <row r="1529" spans="1:8">
      <c r="A1529" s="220">
        <v>43831</v>
      </c>
      <c r="B1529" s="220">
        <v>44196</v>
      </c>
      <c r="C1529" s="56" t="s">
        <v>5</v>
      </c>
      <c r="D1529" s="56" t="s">
        <v>9</v>
      </c>
      <c r="E1529" s="56">
        <v>2020</v>
      </c>
      <c r="F1529" s="56">
        <v>218.78</v>
      </c>
      <c r="G1529" t="s">
        <v>232</v>
      </c>
      <c r="H1529">
        <v>304.44</v>
      </c>
    </row>
    <row r="1530" spans="1:8">
      <c r="A1530" s="220">
        <v>43831</v>
      </c>
      <c r="B1530" s="220">
        <v>44196</v>
      </c>
      <c r="C1530" s="56" t="s">
        <v>5</v>
      </c>
      <c r="D1530" s="56" t="s">
        <v>9</v>
      </c>
      <c r="E1530" s="56">
        <v>2020</v>
      </c>
      <c r="F1530" s="56">
        <v>236.46</v>
      </c>
      <c r="G1530" t="s">
        <v>232</v>
      </c>
      <c r="H1530">
        <v>329.04</v>
      </c>
    </row>
    <row r="1531" spans="1:8">
      <c r="A1531" s="220">
        <v>43831</v>
      </c>
      <c r="B1531" s="220">
        <v>44196</v>
      </c>
      <c r="C1531" s="56" t="s">
        <v>5</v>
      </c>
      <c r="D1531" s="56" t="s">
        <v>9</v>
      </c>
      <c r="E1531" s="56">
        <v>2020</v>
      </c>
      <c r="F1531" s="56">
        <v>322.93</v>
      </c>
      <c r="G1531" t="s">
        <v>232</v>
      </c>
      <c r="H1531">
        <v>449.37</v>
      </c>
    </row>
    <row r="1532" spans="1:8">
      <c r="A1532" s="220">
        <v>43466</v>
      </c>
      <c r="B1532" s="220">
        <v>43830</v>
      </c>
      <c r="C1532" s="56" t="s">
        <v>5</v>
      </c>
      <c r="D1532" s="56" t="s">
        <v>9</v>
      </c>
      <c r="E1532" s="56">
        <v>2019</v>
      </c>
      <c r="F1532" s="56">
        <v>249.04</v>
      </c>
      <c r="G1532" t="s">
        <v>232</v>
      </c>
      <c r="H1532">
        <v>324.24</v>
      </c>
    </row>
    <row r="1533" spans="1:8">
      <c r="A1533" s="220">
        <v>43831</v>
      </c>
      <c r="B1533" s="220">
        <v>44196</v>
      </c>
      <c r="C1533" s="56" t="s">
        <v>5</v>
      </c>
      <c r="D1533" s="56" t="s">
        <v>9</v>
      </c>
      <c r="E1533" s="56">
        <v>2020</v>
      </c>
      <c r="F1533" s="56">
        <v>2936.78</v>
      </c>
      <c r="G1533" t="s">
        <v>232</v>
      </c>
      <c r="H1533">
        <v>4086.6</v>
      </c>
    </row>
    <row r="1534" spans="1:8">
      <c r="A1534" s="220">
        <v>43466</v>
      </c>
      <c r="B1534" s="220">
        <v>43677</v>
      </c>
      <c r="C1534" s="56" t="s">
        <v>5</v>
      </c>
      <c r="D1534" s="56" t="s">
        <v>9</v>
      </c>
      <c r="E1534" s="56">
        <v>2019</v>
      </c>
      <c r="F1534" s="56">
        <v>286.89</v>
      </c>
      <c r="G1534" t="s">
        <v>232</v>
      </c>
      <c r="H1534">
        <v>373.52</v>
      </c>
    </row>
    <row r="1535" spans="1:8">
      <c r="A1535" s="220">
        <v>43709</v>
      </c>
      <c r="B1535" s="220">
        <v>43830</v>
      </c>
      <c r="C1535" s="56" t="s">
        <v>5</v>
      </c>
      <c r="D1535" s="56" t="s">
        <v>9</v>
      </c>
      <c r="E1535" s="56">
        <v>2019</v>
      </c>
      <c r="F1535" s="56">
        <v>83.01</v>
      </c>
      <c r="G1535" t="s">
        <v>232</v>
      </c>
      <c r="H1535">
        <v>108.08</v>
      </c>
    </row>
    <row r="1536" spans="1:8">
      <c r="A1536" s="220">
        <v>43831</v>
      </c>
      <c r="B1536" s="220">
        <v>44196</v>
      </c>
      <c r="C1536" s="56" t="s">
        <v>5</v>
      </c>
      <c r="D1536" s="56" t="s">
        <v>9</v>
      </c>
      <c r="E1536" s="56">
        <v>2020</v>
      </c>
      <c r="F1536" s="56">
        <v>351.76</v>
      </c>
      <c r="G1536" t="s">
        <v>232</v>
      </c>
      <c r="H1536">
        <v>489.48</v>
      </c>
    </row>
    <row r="1537" spans="1:8">
      <c r="A1537" s="220">
        <v>43831</v>
      </c>
      <c r="B1537" s="220">
        <v>44196</v>
      </c>
      <c r="C1537" s="56" t="s">
        <v>5</v>
      </c>
      <c r="D1537" s="56" t="s">
        <v>9</v>
      </c>
      <c r="E1537" s="56">
        <v>2020</v>
      </c>
      <c r="F1537" s="56">
        <v>667.21</v>
      </c>
      <c r="G1537" t="s">
        <v>232</v>
      </c>
      <c r="H1537">
        <v>928.44</v>
      </c>
    </row>
    <row r="1538" spans="1:8">
      <c r="A1538" s="220">
        <v>43820</v>
      </c>
      <c r="B1538" s="220">
        <v>43830</v>
      </c>
      <c r="C1538" s="56" t="s">
        <v>5</v>
      </c>
      <c r="D1538" s="56" t="s">
        <v>9</v>
      </c>
      <c r="E1538" s="56">
        <v>2019</v>
      </c>
      <c r="F1538" s="56">
        <v>82.58</v>
      </c>
      <c r="G1538" t="s">
        <v>232</v>
      </c>
      <c r="H1538">
        <v>107.51</v>
      </c>
    </row>
    <row r="1539" spans="1:8">
      <c r="A1539" s="220">
        <v>43789</v>
      </c>
      <c r="B1539" s="220">
        <v>43799</v>
      </c>
      <c r="C1539" s="56" t="s">
        <v>5</v>
      </c>
      <c r="D1539" s="56" t="s">
        <v>9</v>
      </c>
      <c r="E1539" s="56">
        <v>2019</v>
      </c>
      <c r="F1539" s="56">
        <v>49.42</v>
      </c>
      <c r="G1539" t="s">
        <v>232</v>
      </c>
      <c r="H1539">
        <v>64.34</v>
      </c>
    </row>
    <row r="1540" spans="1:8">
      <c r="A1540" s="220">
        <v>43831</v>
      </c>
      <c r="B1540" s="220">
        <v>44135</v>
      </c>
      <c r="C1540" s="56" t="s">
        <v>5</v>
      </c>
      <c r="D1540" s="56" t="s">
        <v>9</v>
      </c>
      <c r="E1540" s="56">
        <v>2020</v>
      </c>
      <c r="F1540" s="56">
        <v>1078.06</v>
      </c>
      <c r="G1540" t="s">
        <v>232</v>
      </c>
      <c r="H1540">
        <v>1500.15</v>
      </c>
    </row>
    <row r="1541" spans="1:8">
      <c r="A1541" s="220">
        <v>43759</v>
      </c>
      <c r="B1541" s="220">
        <v>43830</v>
      </c>
      <c r="C1541" s="56" t="s">
        <v>5</v>
      </c>
      <c r="D1541" s="56" t="s">
        <v>9</v>
      </c>
      <c r="E1541" s="56">
        <v>2019</v>
      </c>
      <c r="F1541" s="56">
        <v>146.16999999999999</v>
      </c>
      <c r="G1541" t="s">
        <v>232</v>
      </c>
      <c r="H1541">
        <v>190.31</v>
      </c>
    </row>
    <row r="1542" spans="1:8">
      <c r="A1542" s="220">
        <v>43831</v>
      </c>
      <c r="B1542" s="220">
        <v>44196</v>
      </c>
      <c r="C1542" s="56" t="s">
        <v>5</v>
      </c>
      <c r="D1542" s="56" t="s">
        <v>9</v>
      </c>
      <c r="E1542" s="56">
        <v>2020</v>
      </c>
      <c r="F1542" s="56">
        <v>505.76</v>
      </c>
      <c r="G1542" t="s">
        <v>232</v>
      </c>
      <c r="H1542">
        <v>703.77</v>
      </c>
    </row>
    <row r="1543" spans="1:8">
      <c r="A1543" s="220">
        <v>43709</v>
      </c>
      <c r="B1543" s="220">
        <v>43830</v>
      </c>
      <c r="C1543" s="56" t="s">
        <v>5</v>
      </c>
      <c r="D1543" s="56" t="s">
        <v>9</v>
      </c>
      <c r="E1543" s="56">
        <v>2019</v>
      </c>
      <c r="F1543" s="56">
        <v>345.08</v>
      </c>
      <c r="G1543" t="s">
        <v>232</v>
      </c>
      <c r="H1543">
        <v>449.28</v>
      </c>
    </row>
    <row r="1544" spans="1:8">
      <c r="A1544" s="220">
        <v>43466</v>
      </c>
      <c r="B1544" s="220">
        <v>43830</v>
      </c>
      <c r="C1544" s="56" t="s">
        <v>5</v>
      </c>
      <c r="D1544" s="56" t="s">
        <v>9</v>
      </c>
      <c r="E1544" s="56">
        <v>2019</v>
      </c>
      <c r="F1544" s="56">
        <v>498.08</v>
      </c>
      <c r="G1544" t="s">
        <v>232</v>
      </c>
      <c r="H1544">
        <v>648.48</v>
      </c>
    </row>
    <row r="1545" spans="1:8">
      <c r="A1545" s="220">
        <v>43831</v>
      </c>
      <c r="B1545" s="220">
        <v>44196</v>
      </c>
      <c r="C1545" s="56" t="s">
        <v>5</v>
      </c>
      <c r="D1545" s="56" t="s">
        <v>9</v>
      </c>
      <c r="E1545" s="56">
        <v>2020</v>
      </c>
      <c r="F1545" s="56">
        <v>2126.1</v>
      </c>
      <c r="G1545" t="s">
        <v>232</v>
      </c>
      <c r="H1545">
        <v>2958.52</v>
      </c>
    </row>
    <row r="1546" spans="1:8">
      <c r="A1546" s="220">
        <v>43466</v>
      </c>
      <c r="B1546" s="220">
        <v>43830</v>
      </c>
      <c r="C1546" s="56" t="s">
        <v>5</v>
      </c>
      <c r="D1546" s="56" t="s">
        <v>9</v>
      </c>
      <c r="E1546" s="56">
        <v>2019</v>
      </c>
      <c r="F1546" s="56">
        <v>619.47</v>
      </c>
      <c r="G1546" t="s">
        <v>232</v>
      </c>
      <c r="H1546">
        <v>806.52</v>
      </c>
    </row>
    <row r="1547" spans="1:8">
      <c r="A1547" s="220">
        <v>43466</v>
      </c>
      <c r="B1547" s="220">
        <v>43830</v>
      </c>
      <c r="C1547" s="56" t="s">
        <v>5</v>
      </c>
      <c r="D1547" s="56" t="s">
        <v>9</v>
      </c>
      <c r="E1547" s="56">
        <v>2019</v>
      </c>
      <c r="F1547" s="56">
        <v>269.79000000000002</v>
      </c>
      <c r="G1547" t="s">
        <v>232</v>
      </c>
      <c r="H1547">
        <v>351.26</v>
      </c>
    </row>
    <row r="1548" spans="1:8">
      <c r="A1548" s="220">
        <v>43617</v>
      </c>
      <c r="B1548" s="220">
        <v>43646</v>
      </c>
      <c r="C1548" s="56" t="s">
        <v>5</v>
      </c>
      <c r="D1548" s="56" t="s">
        <v>9</v>
      </c>
      <c r="E1548" s="56">
        <v>2019</v>
      </c>
      <c r="F1548" s="56">
        <v>432.17</v>
      </c>
      <c r="G1548" t="s">
        <v>232</v>
      </c>
      <c r="H1548">
        <v>562.66</v>
      </c>
    </row>
    <row r="1549" spans="1:8">
      <c r="A1549" s="220">
        <v>43466</v>
      </c>
      <c r="B1549" s="220">
        <v>43830</v>
      </c>
      <c r="C1549" s="56" t="s">
        <v>5</v>
      </c>
      <c r="D1549" s="56" t="s">
        <v>9</v>
      </c>
      <c r="E1549" s="56">
        <v>2019</v>
      </c>
      <c r="F1549" s="56">
        <v>259.16000000000003</v>
      </c>
      <c r="G1549" t="s">
        <v>232</v>
      </c>
      <c r="H1549">
        <v>337.41</v>
      </c>
    </row>
    <row r="1550" spans="1:8">
      <c r="A1550" s="220">
        <v>43466</v>
      </c>
      <c r="B1550" s="220">
        <v>43830</v>
      </c>
      <c r="C1550" s="56" t="s">
        <v>5</v>
      </c>
      <c r="D1550" s="56" t="s">
        <v>9</v>
      </c>
      <c r="E1550" s="56">
        <v>2019</v>
      </c>
      <c r="F1550" s="56">
        <v>498.08</v>
      </c>
      <c r="G1550" t="s">
        <v>232</v>
      </c>
      <c r="H1550">
        <v>648.48</v>
      </c>
    </row>
    <row r="1551" spans="1:8">
      <c r="A1551" s="220">
        <v>43831</v>
      </c>
      <c r="B1551" s="220">
        <v>44196</v>
      </c>
      <c r="C1551" s="56" t="s">
        <v>5</v>
      </c>
      <c r="D1551" s="56" t="s">
        <v>9</v>
      </c>
      <c r="E1551" s="56">
        <v>2020</v>
      </c>
      <c r="F1551" s="56">
        <v>236.46</v>
      </c>
      <c r="G1551" t="s">
        <v>232</v>
      </c>
      <c r="H1551">
        <v>329.04</v>
      </c>
    </row>
    <row r="1552" spans="1:8">
      <c r="A1552" s="220">
        <v>43466</v>
      </c>
      <c r="B1552" s="220">
        <v>43830</v>
      </c>
      <c r="C1552" s="56" t="s">
        <v>5</v>
      </c>
      <c r="D1552" s="56" t="s">
        <v>9</v>
      </c>
      <c r="E1552" s="56">
        <v>2019</v>
      </c>
      <c r="F1552" s="56">
        <v>773.48</v>
      </c>
      <c r="G1552" t="s">
        <v>232</v>
      </c>
      <c r="H1552">
        <v>1007.04</v>
      </c>
    </row>
    <row r="1553" spans="1:8">
      <c r="A1553" s="220">
        <v>43466</v>
      </c>
      <c r="B1553" s="220">
        <v>43830</v>
      </c>
      <c r="C1553" s="56" t="s">
        <v>5</v>
      </c>
      <c r="D1553" s="56" t="s">
        <v>9</v>
      </c>
      <c r="E1553" s="56">
        <v>2019</v>
      </c>
      <c r="F1553" s="56">
        <v>498.08</v>
      </c>
      <c r="G1553" t="s">
        <v>232</v>
      </c>
      <c r="H1553">
        <v>648.48</v>
      </c>
    </row>
    <row r="1554" spans="1:8">
      <c r="A1554" s="220">
        <v>43466</v>
      </c>
      <c r="B1554" s="220">
        <v>43830</v>
      </c>
      <c r="C1554" s="56" t="s">
        <v>5</v>
      </c>
      <c r="D1554" s="56" t="s">
        <v>9</v>
      </c>
      <c r="E1554" s="56">
        <v>2019</v>
      </c>
      <c r="F1554" s="56">
        <v>249.04</v>
      </c>
      <c r="G1554" t="s">
        <v>232</v>
      </c>
      <c r="H1554">
        <v>324.24</v>
      </c>
    </row>
    <row r="1555" spans="1:8">
      <c r="A1555" s="220">
        <v>43831</v>
      </c>
      <c r="B1555" s="220">
        <v>44196</v>
      </c>
      <c r="C1555" s="56" t="s">
        <v>5</v>
      </c>
      <c r="D1555" s="56" t="s">
        <v>9</v>
      </c>
      <c r="E1555" s="56">
        <v>2020</v>
      </c>
      <c r="F1555" s="56">
        <v>703.52</v>
      </c>
      <c r="G1555" t="s">
        <v>232</v>
      </c>
      <c r="H1555">
        <v>978.96</v>
      </c>
    </row>
    <row r="1556" spans="1:8">
      <c r="A1556" s="220">
        <v>43831</v>
      </c>
      <c r="B1556" s="220">
        <v>44196</v>
      </c>
      <c r="C1556" s="56" t="s">
        <v>5</v>
      </c>
      <c r="D1556" s="56" t="s">
        <v>9</v>
      </c>
      <c r="E1556" s="56">
        <v>2020</v>
      </c>
      <c r="F1556" s="56">
        <v>351.76</v>
      </c>
      <c r="G1556" t="s">
        <v>232</v>
      </c>
      <c r="H1556">
        <v>489.48</v>
      </c>
    </row>
    <row r="1557" spans="1:8">
      <c r="A1557" s="220">
        <v>43862</v>
      </c>
      <c r="B1557" s="220">
        <v>44196</v>
      </c>
      <c r="C1557" s="56" t="s">
        <v>5</v>
      </c>
      <c r="D1557" s="56" t="s">
        <v>9</v>
      </c>
      <c r="E1557" s="56">
        <v>2020</v>
      </c>
      <c r="F1557" s="56">
        <v>806.6</v>
      </c>
      <c r="G1557" t="s">
        <v>232</v>
      </c>
      <c r="H1557">
        <v>1122.4000000000001</v>
      </c>
    </row>
    <row r="1558" spans="1:8">
      <c r="A1558" s="220">
        <v>43466</v>
      </c>
      <c r="B1558" s="220">
        <v>43830</v>
      </c>
      <c r="C1558" s="56" t="s">
        <v>5</v>
      </c>
      <c r="D1558" s="56" t="s">
        <v>9</v>
      </c>
      <c r="E1558" s="56">
        <v>2019</v>
      </c>
      <c r="F1558" s="56">
        <v>230.33</v>
      </c>
      <c r="G1558" t="s">
        <v>232</v>
      </c>
      <c r="H1558">
        <v>299.88</v>
      </c>
    </row>
    <row r="1559" spans="1:8">
      <c r="A1559" s="220">
        <v>43831</v>
      </c>
      <c r="B1559" s="220">
        <v>44196</v>
      </c>
      <c r="C1559" s="56" t="s">
        <v>5</v>
      </c>
      <c r="D1559" s="56" t="s">
        <v>9</v>
      </c>
      <c r="E1559" s="56">
        <v>2020</v>
      </c>
      <c r="F1559" s="56">
        <v>584.29999999999995</v>
      </c>
      <c r="G1559" t="s">
        <v>232</v>
      </c>
      <c r="H1559">
        <v>813.07</v>
      </c>
    </row>
    <row r="1560" spans="1:8">
      <c r="A1560" s="220">
        <v>43466</v>
      </c>
      <c r="B1560" s="220">
        <v>43677</v>
      </c>
      <c r="C1560" s="56" t="s">
        <v>5</v>
      </c>
      <c r="D1560" s="56" t="s">
        <v>9</v>
      </c>
      <c r="E1560" s="56">
        <v>2019</v>
      </c>
      <c r="F1560" s="56">
        <v>577.44000000000005</v>
      </c>
      <c r="G1560" t="s">
        <v>232</v>
      </c>
      <c r="H1560">
        <v>751.8</v>
      </c>
    </row>
    <row r="1561" spans="1:8">
      <c r="A1561" s="220">
        <v>43800</v>
      </c>
      <c r="B1561" s="220">
        <v>43830</v>
      </c>
      <c r="C1561" s="56" t="s">
        <v>5</v>
      </c>
      <c r="D1561" s="56" t="s">
        <v>9</v>
      </c>
      <c r="E1561" s="56">
        <v>2019</v>
      </c>
      <c r="F1561" s="56">
        <v>41.81</v>
      </c>
      <c r="G1561" t="s">
        <v>232</v>
      </c>
      <c r="H1561">
        <v>54.44</v>
      </c>
    </row>
    <row r="1562" spans="1:8">
      <c r="A1562" s="220">
        <v>43831</v>
      </c>
      <c r="B1562" s="220">
        <v>44196</v>
      </c>
      <c r="C1562" s="56" t="s">
        <v>5</v>
      </c>
      <c r="D1562" s="56" t="s">
        <v>9</v>
      </c>
      <c r="E1562" s="56">
        <v>2020</v>
      </c>
      <c r="F1562" s="56">
        <v>236.46</v>
      </c>
      <c r="G1562" t="s">
        <v>232</v>
      </c>
      <c r="H1562">
        <v>329.04</v>
      </c>
    </row>
    <row r="1563" spans="1:8">
      <c r="A1563" s="220">
        <v>43831</v>
      </c>
      <c r="B1563" s="220">
        <v>44165</v>
      </c>
      <c r="C1563" s="56" t="s">
        <v>5</v>
      </c>
      <c r="D1563" s="56" t="s">
        <v>9</v>
      </c>
      <c r="E1563" s="56">
        <v>2020</v>
      </c>
      <c r="F1563" s="56">
        <v>270.66000000000003</v>
      </c>
      <c r="G1563" t="s">
        <v>232</v>
      </c>
      <c r="H1563">
        <v>376.63</v>
      </c>
    </row>
    <row r="1564" spans="1:8">
      <c r="A1564" s="220">
        <v>43831</v>
      </c>
      <c r="B1564" s="220">
        <v>44196</v>
      </c>
      <c r="C1564" s="56" t="s">
        <v>5</v>
      </c>
      <c r="D1564" s="56" t="s">
        <v>9</v>
      </c>
      <c r="E1564" s="56">
        <v>2020</v>
      </c>
      <c r="F1564" s="56">
        <v>236.46</v>
      </c>
      <c r="G1564" t="s">
        <v>232</v>
      </c>
      <c r="H1564">
        <v>329.04</v>
      </c>
    </row>
    <row r="1565" spans="1:8">
      <c r="A1565" s="220">
        <v>43831</v>
      </c>
      <c r="B1565" s="220">
        <v>44196</v>
      </c>
      <c r="C1565" s="56" t="s">
        <v>5</v>
      </c>
      <c r="D1565" s="56" t="s">
        <v>9</v>
      </c>
      <c r="E1565" s="56">
        <v>2020</v>
      </c>
      <c r="F1565" s="56">
        <v>236.46</v>
      </c>
      <c r="G1565" t="s">
        <v>232</v>
      </c>
      <c r="H1565">
        <v>329.04</v>
      </c>
    </row>
    <row r="1566" spans="1:8">
      <c r="A1566" s="220">
        <v>43466</v>
      </c>
      <c r="B1566" s="220">
        <v>43830</v>
      </c>
      <c r="C1566" s="56" t="s">
        <v>5</v>
      </c>
      <c r="D1566" s="56" t="s">
        <v>9</v>
      </c>
      <c r="E1566" s="56">
        <v>2019</v>
      </c>
      <c r="F1566" s="56">
        <v>579.01</v>
      </c>
      <c r="G1566" t="s">
        <v>232</v>
      </c>
      <c r="H1566">
        <v>753.84</v>
      </c>
    </row>
    <row r="1567" spans="1:8">
      <c r="A1567" s="220">
        <v>43586</v>
      </c>
      <c r="B1567" s="220">
        <v>43830</v>
      </c>
      <c r="C1567" s="56" t="s">
        <v>5</v>
      </c>
      <c r="D1567" s="56" t="s">
        <v>9</v>
      </c>
      <c r="E1567" s="56">
        <v>2019</v>
      </c>
      <c r="F1567" s="56">
        <v>528.55999999999995</v>
      </c>
      <c r="G1567" t="s">
        <v>232</v>
      </c>
      <c r="H1567">
        <v>688.16</v>
      </c>
    </row>
    <row r="1568" spans="1:8">
      <c r="A1568" s="220">
        <v>43525</v>
      </c>
      <c r="B1568" s="220">
        <v>43830</v>
      </c>
      <c r="C1568" s="56" t="s">
        <v>5</v>
      </c>
      <c r="D1568" s="56" t="s">
        <v>9</v>
      </c>
      <c r="E1568" s="56">
        <v>2019</v>
      </c>
      <c r="F1568" s="56">
        <v>1013.71</v>
      </c>
      <c r="G1568" t="s">
        <v>232</v>
      </c>
      <c r="H1568">
        <v>1319.8</v>
      </c>
    </row>
    <row r="1569" spans="1:8">
      <c r="A1569" s="220">
        <v>43703</v>
      </c>
      <c r="B1569" s="220">
        <v>43708</v>
      </c>
      <c r="C1569" s="56" t="s">
        <v>5</v>
      </c>
      <c r="D1569" s="56" t="s">
        <v>9</v>
      </c>
      <c r="E1569" s="56">
        <v>2019</v>
      </c>
      <c r="F1569" s="56">
        <v>129.63999999999999</v>
      </c>
      <c r="G1569" t="s">
        <v>232</v>
      </c>
      <c r="H1569">
        <v>168.79</v>
      </c>
    </row>
    <row r="1570" spans="1:8">
      <c r="A1570" s="220">
        <v>44046</v>
      </c>
      <c r="B1570" s="220">
        <v>44196</v>
      </c>
      <c r="C1570" s="56" t="s">
        <v>5</v>
      </c>
      <c r="D1570" s="56" t="s">
        <v>9</v>
      </c>
      <c r="E1570" s="56">
        <v>2020</v>
      </c>
      <c r="F1570" s="56">
        <v>334.15</v>
      </c>
      <c r="G1570" t="s">
        <v>232</v>
      </c>
      <c r="H1570">
        <v>464.98</v>
      </c>
    </row>
    <row r="1571" spans="1:8">
      <c r="A1571" s="220">
        <v>43466</v>
      </c>
      <c r="B1571" s="220">
        <v>43677</v>
      </c>
      <c r="C1571" s="56" t="s">
        <v>5</v>
      </c>
      <c r="D1571" s="56" t="s">
        <v>9</v>
      </c>
      <c r="E1571" s="56">
        <v>2019</v>
      </c>
      <c r="F1571" s="56">
        <v>216.08</v>
      </c>
      <c r="G1571" t="s">
        <v>232</v>
      </c>
      <c r="H1571">
        <v>281.33</v>
      </c>
    </row>
    <row r="1572" spans="1:8">
      <c r="A1572" s="220">
        <v>43466</v>
      </c>
      <c r="B1572" s="220">
        <v>43830</v>
      </c>
      <c r="C1572" s="56" t="s">
        <v>5</v>
      </c>
      <c r="D1572" s="56" t="s">
        <v>9</v>
      </c>
      <c r="E1572" s="56">
        <v>2019</v>
      </c>
      <c r="F1572" s="56">
        <v>249.04</v>
      </c>
      <c r="G1572" t="s">
        <v>232</v>
      </c>
      <c r="H1572">
        <v>324.24</v>
      </c>
    </row>
    <row r="1573" spans="1:8">
      <c r="A1573" s="220">
        <v>43831</v>
      </c>
      <c r="B1573" s="220">
        <v>44196</v>
      </c>
      <c r="C1573" s="56" t="s">
        <v>5</v>
      </c>
      <c r="D1573" s="56" t="s">
        <v>9</v>
      </c>
      <c r="E1573" s="56">
        <v>2020</v>
      </c>
      <c r="F1573" s="56">
        <v>1185.6600000000001</v>
      </c>
      <c r="G1573" t="s">
        <v>232</v>
      </c>
      <c r="H1573">
        <v>1649.88</v>
      </c>
    </row>
    <row r="1574" spans="1:8">
      <c r="A1574" s="220">
        <v>43647</v>
      </c>
      <c r="B1574" s="220">
        <v>43769</v>
      </c>
      <c r="C1574" s="56" t="s">
        <v>5</v>
      </c>
      <c r="D1574" s="56" t="s">
        <v>9</v>
      </c>
      <c r="E1574" s="56">
        <v>2019</v>
      </c>
      <c r="F1574" s="56">
        <v>-145.58000000000001</v>
      </c>
      <c r="G1574" t="s">
        <v>232</v>
      </c>
      <c r="H1574">
        <v>-189.54</v>
      </c>
    </row>
    <row r="1575" spans="1:8">
      <c r="A1575" s="220">
        <v>43831</v>
      </c>
      <c r="B1575" s="220">
        <v>44196</v>
      </c>
      <c r="C1575" s="56" t="s">
        <v>5</v>
      </c>
      <c r="D1575" s="56" t="s">
        <v>9</v>
      </c>
      <c r="E1575" s="56">
        <v>2020</v>
      </c>
      <c r="F1575" s="56">
        <v>236.46</v>
      </c>
      <c r="G1575" t="s">
        <v>232</v>
      </c>
      <c r="H1575">
        <v>329.04</v>
      </c>
    </row>
    <row r="1576" spans="1:8">
      <c r="A1576" s="220">
        <v>43466</v>
      </c>
      <c r="B1576" s="220">
        <v>43830</v>
      </c>
      <c r="C1576" s="56" t="s">
        <v>5</v>
      </c>
      <c r="D1576" s="56" t="s">
        <v>9</v>
      </c>
      <c r="E1576" s="56">
        <v>2019</v>
      </c>
      <c r="F1576" s="56">
        <v>249.04</v>
      </c>
      <c r="G1576" t="s">
        <v>232</v>
      </c>
      <c r="H1576">
        <v>324.24</v>
      </c>
    </row>
    <row r="1577" spans="1:8">
      <c r="A1577" s="220">
        <v>43909</v>
      </c>
      <c r="B1577" s="220">
        <v>43921</v>
      </c>
      <c r="C1577" s="56" t="s">
        <v>5</v>
      </c>
      <c r="D1577" s="56" t="s">
        <v>9</v>
      </c>
      <c r="E1577" s="56">
        <v>2020</v>
      </c>
      <c r="F1577" s="56">
        <v>126.77</v>
      </c>
      <c r="G1577" t="s">
        <v>232</v>
      </c>
      <c r="H1577">
        <v>176.4</v>
      </c>
    </row>
    <row r="1578" spans="1:8">
      <c r="A1578" s="220">
        <v>43831</v>
      </c>
      <c r="B1578" s="220">
        <v>44196</v>
      </c>
      <c r="C1578" s="56" t="s">
        <v>5</v>
      </c>
      <c r="D1578" s="56" t="s">
        <v>9</v>
      </c>
      <c r="E1578" s="56">
        <v>2020</v>
      </c>
      <c r="F1578" s="56">
        <v>899.57</v>
      </c>
      <c r="G1578" t="s">
        <v>232</v>
      </c>
      <c r="H1578">
        <v>1251.77</v>
      </c>
    </row>
    <row r="1579" spans="1:8">
      <c r="A1579" s="220">
        <v>43466</v>
      </c>
      <c r="B1579" s="220">
        <v>43830</v>
      </c>
      <c r="C1579" s="56" t="s">
        <v>5</v>
      </c>
      <c r="D1579" s="56" t="s">
        <v>9</v>
      </c>
      <c r="E1579" s="56">
        <v>2019</v>
      </c>
      <c r="F1579" s="56">
        <v>249.04</v>
      </c>
      <c r="G1579" t="s">
        <v>232</v>
      </c>
      <c r="H1579">
        <v>324.24</v>
      </c>
    </row>
    <row r="1580" spans="1:8">
      <c r="A1580" s="220">
        <v>43466</v>
      </c>
      <c r="B1580" s="220">
        <v>43677</v>
      </c>
      <c r="C1580" s="56" t="s">
        <v>5</v>
      </c>
      <c r="D1580" s="56" t="s">
        <v>9</v>
      </c>
      <c r="E1580" s="56">
        <v>2019</v>
      </c>
      <c r="F1580" s="56">
        <v>506.63</v>
      </c>
      <c r="G1580" t="s">
        <v>232</v>
      </c>
      <c r="H1580">
        <v>659.61</v>
      </c>
    </row>
    <row r="1581" spans="1:8">
      <c r="A1581" s="220">
        <v>43831</v>
      </c>
      <c r="B1581" s="220">
        <v>44196</v>
      </c>
      <c r="C1581" s="56" t="s">
        <v>5</v>
      </c>
      <c r="D1581" s="56" t="s">
        <v>9</v>
      </c>
      <c r="E1581" s="56">
        <v>2020</v>
      </c>
      <c r="F1581" s="56">
        <v>236.46</v>
      </c>
      <c r="G1581" t="s">
        <v>232</v>
      </c>
      <c r="H1581">
        <v>329.04</v>
      </c>
    </row>
    <row r="1582" spans="1:8">
      <c r="A1582" s="220">
        <v>43831</v>
      </c>
      <c r="B1582" s="220">
        <v>44196</v>
      </c>
      <c r="C1582" s="56" t="s">
        <v>5</v>
      </c>
      <c r="D1582" s="56" t="s">
        <v>9</v>
      </c>
      <c r="E1582" s="56">
        <v>2020</v>
      </c>
      <c r="F1582" s="56">
        <v>236.46</v>
      </c>
      <c r="G1582" t="s">
        <v>232</v>
      </c>
      <c r="H1582">
        <v>329.04</v>
      </c>
    </row>
    <row r="1583" spans="1:8">
      <c r="A1583" s="220">
        <v>43466</v>
      </c>
      <c r="B1583" s="220">
        <v>43677</v>
      </c>
      <c r="C1583" s="56" t="s">
        <v>5</v>
      </c>
      <c r="D1583" s="56" t="s">
        <v>9</v>
      </c>
      <c r="E1583" s="56">
        <v>2019</v>
      </c>
      <c r="F1583" s="56">
        <v>145.27000000000001</v>
      </c>
      <c r="G1583" t="s">
        <v>232</v>
      </c>
      <c r="H1583">
        <v>189.14</v>
      </c>
    </row>
    <row r="1584" spans="1:8">
      <c r="A1584" s="220">
        <v>43466</v>
      </c>
      <c r="B1584" s="220">
        <v>43830</v>
      </c>
      <c r="C1584" s="56" t="s">
        <v>5</v>
      </c>
      <c r="D1584" s="56" t="s">
        <v>9</v>
      </c>
      <c r="E1584" s="56">
        <v>2019</v>
      </c>
      <c r="F1584" s="56">
        <v>249.04</v>
      </c>
      <c r="G1584" t="s">
        <v>232</v>
      </c>
      <c r="H1584">
        <v>324.24</v>
      </c>
    </row>
    <row r="1585" spans="1:8">
      <c r="A1585" s="220">
        <v>43466</v>
      </c>
      <c r="B1585" s="220">
        <v>43585</v>
      </c>
      <c r="C1585" s="56" t="s">
        <v>5</v>
      </c>
      <c r="D1585" s="56" t="s">
        <v>9</v>
      </c>
      <c r="E1585" s="56">
        <v>2019</v>
      </c>
      <c r="F1585" s="56">
        <v>83.01</v>
      </c>
      <c r="G1585" t="s">
        <v>232</v>
      </c>
      <c r="H1585">
        <v>108.08</v>
      </c>
    </row>
    <row r="1586" spans="1:8">
      <c r="A1586" s="220">
        <v>43497</v>
      </c>
      <c r="B1586" s="220">
        <v>43524</v>
      </c>
      <c r="C1586" s="56" t="s">
        <v>5</v>
      </c>
      <c r="D1586" s="56" t="s">
        <v>9</v>
      </c>
      <c r="E1586" s="56">
        <v>2019</v>
      </c>
      <c r="F1586" s="56">
        <v>-375.71</v>
      </c>
      <c r="G1586" t="s">
        <v>232</v>
      </c>
      <c r="H1586">
        <v>-489.16</v>
      </c>
    </row>
    <row r="1587" spans="1:8">
      <c r="A1587" s="220">
        <v>43770</v>
      </c>
      <c r="B1587" s="220">
        <v>43799</v>
      </c>
      <c r="C1587" s="56" t="s">
        <v>5</v>
      </c>
      <c r="D1587" s="56" t="s">
        <v>9</v>
      </c>
      <c r="E1587" s="56">
        <v>2019</v>
      </c>
      <c r="F1587" s="56">
        <v>205.69</v>
      </c>
      <c r="G1587" t="s">
        <v>232</v>
      </c>
      <c r="H1587">
        <v>267.8</v>
      </c>
    </row>
    <row r="1588" spans="1:8">
      <c r="A1588" s="220">
        <v>43466</v>
      </c>
      <c r="B1588" s="220">
        <v>43830</v>
      </c>
      <c r="C1588" s="56" t="s">
        <v>5</v>
      </c>
      <c r="D1588" s="56" t="s">
        <v>9</v>
      </c>
      <c r="E1588" s="56">
        <v>2019</v>
      </c>
      <c r="F1588" s="56">
        <v>249.04</v>
      </c>
      <c r="G1588" t="s">
        <v>232</v>
      </c>
      <c r="H1588">
        <v>324.24</v>
      </c>
    </row>
    <row r="1589" spans="1:8">
      <c r="A1589" s="220">
        <v>43466</v>
      </c>
      <c r="B1589" s="220">
        <v>43830</v>
      </c>
      <c r="C1589" s="56" t="s">
        <v>5</v>
      </c>
      <c r="D1589" s="56" t="s">
        <v>9</v>
      </c>
      <c r="E1589" s="56">
        <v>2019</v>
      </c>
      <c r="F1589" s="56">
        <v>370.43</v>
      </c>
      <c r="G1589" t="s">
        <v>232</v>
      </c>
      <c r="H1589">
        <v>482.28</v>
      </c>
    </row>
    <row r="1590" spans="1:8">
      <c r="A1590" s="220">
        <v>43466</v>
      </c>
      <c r="B1590" s="220">
        <v>43646</v>
      </c>
      <c r="C1590" s="56" t="s">
        <v>5</v>
      </c>
      <c r="D1590" s="56" t="s">
        <v>9</v>
      </c>
      <c r="E1590" s="56">
        <v>2019</v>
      </c>
      <c r="F1590" s="56">
        <v>84.4</v>
      </c>
      <c r="G1590" t="s">
        <v>232</v>
      </c>
      <c r="H1590">
        <v>109.89</v>
      </c>
    </row>
    <row r="1591" spans="1:8">
      <c r="A1591" s="220">
        <v>43831</v>
      </c>
      <c r="B1591" s="220">
        <v>44196</v>
      </c>
      <c r="C1591" s="56" t="s">
        <v>5</v>
      </c>
      <c r="D1591" s="56" t="s">
        <v>9</v>
      </c>
      <c r="E1591" s="56">
        <v>2020</v>
      </c>
      <c r="F1591" s="56">
        <v>512.33000000000004</v>
      </c>
      <c r="G1591" t="s">
        <v>232</v>
      </c>
      <c r="H1591">
        <v>712.92</v>
      </c>
    </row>
    <row r="1592" spans="1:8">
      <c r="A1592" s="220">
        <v>43831</v>
      </c>
      <c r="B1592" s="220">
        <v>44196</v>
      </c>
      <c r="C1592" s="56" t="s">
        <v>5</v>
      </c>
      <c r="D1592" s="56" t="s">
        <v>9</v>
      </c>
      <c r="E1592" s="56">
        <v>2020</v>
      </c>
      <c r="F1592" s="56">
        <v>236.46</v>
      </c>
      <c r="G1592" t="s">
        <v>232</v>
      </c>
      <c r="H1592">
        <v>329.04</v>
      </c>
    </row>
    <row r="1593" spans="1:8">
      <c r="A1593" s="220">
        <v>43466</v>
      </c>
      <c r="B1593" s="220">
        <v>43677</v>
      </c>
      <c r="C1593" s="56" t="s">
        <v>5</v>
      </c>
      <c r="D1593" s="56" t="s">
        <v>9</v>
      </c>
      <c r="E1593" s="56">
        <v>2019</v>
      </c>
      <c r="F1593" s="56">
        <v>290.55</v>
      </c>
      <c r="G1593" t="s">
        <v>232</v>
      </c>
      <c r="H1593">
        <v>378.28</v>
      </c>
    </row>
    <row r="1594" spans="1:8">
      <c r="A1594" s="220">
        <v>43831</v>
      </c>
      <c r="B1594" s="220">
        <v>44196</v>
      </c>
      <c r="C1594" s="56" t="s">
        <v>5</v>
      </c>
      <c r="D1594" s="56" t="s">
        <v>9</v>
      </c>
      <c r="E1594" s="56">
        <v>2020</v>
      </c>
      <c r="F1594" s="56">
        <v>236.46</v>
      </c>
      <c r="G1594" t="s">
        <v>232</v>
      </c>
      <c r="H1594">
        <v>329.04</v>
      </c>
    </row>
    <row r="1595" spans="1:8">
      <c r="A1595" s="220">
        <v>43831</v>
      </c>
      <c r="B1595" s="220">
        <v>44196</v>
      </c>
      <c r="C1595" s="56" t="s">
        <v>5</v>
      </c>
      <c r="D1595" s="56" t="s">
        <v>9</v>
      </c>
      <c r="E1595" s="56">
        <v>2020</v>
      </c>
      <c r="F1595" s="56">
        <v>157.63999999999999</v>
      </c>
      <c r="G1595" t="s">
        <v>232</v>
      </c>
      <c r="H1595">
        <v>219.36</v>
      </c>
    </row>
    <row r="1596" spans="1:8">
      <c r="A1596" s="220">
        <v>43466</v>
      </c>
      <c r="B1596" s="220">
        <v>43830</v>
      </c>
      <c r="C1596" s="56" t="s">
        <v>5</v>
      </c>
      <c r="D1596" s="56" t="s">
        <v>9</v>
      </c>
      <c r="E1596" s="56">
        <v>2019</v>
      </c>
      <c r="F1596" s="56">
        <v>491.81</v>
      </c>
      <c r="G1596" t="s">
        <v>232</v>
      </c>
      <c r="H1596">
        <v>640.32000000000005</v>
      </c>
    </row>
    <row r="1597" spans="1:8">
      <c r="A1597" s="220">
        <v>43831</v>
      </c>
      <c r="B1597" s="220">
        <v>44196</v>
      </c>
      <c r="C1597" s="56" t="s">
        <v>5</v>
      </c>
      <c r="D1597" s="56" t="s">
        <v>9</v>
      </c>
      <c r="E1597" s="56">
        <v>2020</v>
      </c>
      <c r="F1597" s="56">
        <v>289.75</v>
      </c>
      <c r="G1597" t="s">
        <v>232</v>
      </c>
      <c r="H1597">
        <v>403.2</v>
      </c>
    </row>
    <row r="1598" spans="1:8">
      <c r="A1598" s="220">
        <v>43831</v>
      </c>
      <c r="B1598" s="220">
        <v>44196</v>
      </c>
      <c r="C1598" s="56" t="s">
        <v>5</v>
      </c>
      <c r="D1598" s="56" t="s">
        <v>9</v>
      </c>
      <c r="E1598" s="56">
        <v>2020</v>
      </c>
      <c r="F1598" s="56">
        <v>703.52</v>
      </c>
      <c r="G1598" t="s">
        <v>232</v>
      </c>
      <c r="H1598">
        <v>978.96</v>
      </c>
    </row>
    <row r="1599" spans="1:8">
      <c r="A1599" s="220">
        <v>43800</v>
      </c>
      <c r="B1599" s="220">
        <v>43830</v>
      </c>
      <c r="C1599" s="56" t="s">
        <v>5</v>
      </c>
      <c r="D1599" s="56" t="s">
        <v>9</v>
      </c>
      <c r="E1599" s="56">
        <v>2019</v>
      </c>
      <c r="F1599" s="56">
        <v>-61.74</v>
      </c>
      <c r="G1599" t="s">
        <v>232</v>
      </c>
      <c r="H1599">
        <v>-80.38</v>
      </c>
    </row>
    <row r="1600" spans="1:8">
      <c r="A1600" s="220">
        <v>43817</v>
      </c>
      <c r="B1600" s="220">
        <v>43830</v>
      </c>
      <c r="C1600" s="56" t="s">
        <v>5</v>
      </c>
      <c r="D1600" s="56" t="s">
        <v>9</v>
      </c>
      <c r="E1600" s="56">
        <v>2019</v>
      </c>
      <c r="F1600" s="56">
        <v>87.47</v>
      </c>
      <c r="G1600" t="s">
        <v>232</v>
      </c>
      <c r="H1600">
        <v>113.88</v>
      </c>
    </row>
    <row r="1601" spans="1:8">
      <c r="A1601" s="220">
        <v>43831</v>
      </c>
      <c r="B1601" s="220">
        <v>44196</v>
      </c>
      <c r="C1601" s="56" t="s">
        <v>5</v>
      </c>
      <c r="D1601" s="56" t="s">
        <v>9</v>
      </c>
      <c r="E1601" s="56">
        <v>2020</v>
      </c>
      <c r="F1601" s="56">
        <v>982.81</v>
      </c>
      <c r="G1601" t="s">
        <v>232</v>
      </c>
      <c r="H1601">
        <v>1367.6</v>
      </c>
    </row>
    <row r="1602" spans="1:8">
      <c r="A1602" s="220">
        <v>43466</v>
      </c>
      <c r="B1602" s="220">
        <v>43830</v>
      </c>
      <c r="C1602" s="56" t="s">
        <v>5</v>
      </c>
      <c r="D1602" s="56" t="s">
        <v>9</v>
      </c>
      <c r="E1602" s="56">
        <v>2019</v>
      </c>
      <c r="F1602" s="56">
        <v>249.04</v>
      </c>
      <c r="G1602" t="s">
        <v>232</v>
      </c>
      <c r="H1602">
        <v>324.24</v>
      </c>
    </row>
    <row r="1603" spans="1:8">
      <c r="A1603" s="220">
        <v>43466</v>
      </c>
      <c r="B1603" s="220">
        <v>43830</v>
      </c>
      <c r="C1603" s="56" t="s">
        <v>5</v>
      </c>
      <c r="D1603" s="56" t="s">
        <v>9</v>
      </c>
      <c r="E1603" s="56">
        <v>2019</v>
      </c>
      <c r="F1603" s="56">
        <v>249.04</v>
      </c>
      <c r="G1603" t="s">
        <v>232</v>
      </c>
      <c r="H1603">
        <v>324.24</v>
      </c>
    </row>
    <row r="1604" spans="1:8">
      <c r="A1604" s="220">
        <v>43466</v>
      </c>
      <c r="B1604" s="220">
        <v>43830</v>
      </c>
      <c r="C1604" s="56" t="s">
        <v>5</v>
      </c>
      <c r="D1604" s="56" t="s">
        <v>9</v>
      </c>
      <c r="E1604" s="56">
        <v>2019</v>
      </c>
      <c r="F1604" s="56">
        <v>370.43</v>
      </c>
      <c r="G1604" t="s">
        <v>232</v>
      </c>
      <c r="H1604">
        <v>482.28</v>
      </c>
    </row>
    <row r="1605" spans="1:8">
      <c r="A1605" s="220">
        <v>43466</v>
      </c>
      <c r="B1605" s="220">
        <v>43830</v>
      </c>
      <c r="C1605" s="56" t="s">
        <v>5</v>
      </c>
      <c r="D1605" s="56" t="s">
        <v>9</v>
      </c>
      <c r="E1605" s="56">
        <v>2019</v>
      </c>
      <c r="F1605" s="56">
        <v>249.04</v>
      </c>
      <c r="G1605" t="s">
        <v>232</v>
      </c>
      <c r="H1605">
        <v>324.24</v>
      </c>
    </row>
    <row r="1606" spans="1:8">
      <c r="A1606" s="220">
        <v>43796</v>
      </c>
      <c r="B1606" s="220">
        <v>43799</v>
      </c>
      <c r="C1606" s="56" t="s">
        <v>5</v>
      </c>
      <c r="D1606" s="56" t="s">
        <v>9</v>
      </c>
      <c r="E1606" s="56">
        <v>2019</v>
      </c>
      <c r="F1606" s="56">
        <v>-20.36</v>
      </c>
      <c r="G1606" t="s">
        <v>232</v>
      </c>
      <c r="H1606">
        <v>-26.51</v>
      </c>
    </row>
    <row r="1607" spans="1:8">
      <c r="A1607" s="220">
        <v>43466</v>
      </c>
      <c r="B1607" s="220">
        <v>43585</v>
      </c>
      <c r="C1607" s="56" t="s">
        <v>5</v>
      </c>
      <c r="D1607" s="56" t="s">
        <v>9</v>
      </c>
      <c r="E1607" s="56">
        <v>2019</v>
      </c>
      <c r="F1607" s="56">
        <v>205.45</v>
      </c>
      <c r="G1607" t="s">
        <v>232</v>
      </c>
      <c r="H1607">
        <v>267.48</v>
      </c>
    </row>
    <row r="1608" spans="1:8">
      <c r="A1608" s="220">
        <v>43466</v>
      </c>
      <c r="B1608" s="220">
        <v>43830</v>
      </c>
      <c r="C1608" s="56" t="s">
        <v>5</v>
      </c>
      <c r="D1608" s="56" t="s">
        <v>9</v>
      </c>
      <c r="E1608" s="56">
        <v>2019</v>
      </c>
      <c r="F1608" s="56">
        <v>370.43</v>
      </c>
      <c r="G1608" t="s">
        <v>232</v>
      </c>
      <c r="H1608">
        <v>482.28</v>
      </c>
    </row>
    <row r="1609" spans="1:8">
      <c r="A1609" s="220">
        <v>43754</v>
      </c>
      <c r="B1609" s="220">
        <v>43830</v>
      </c>
      <c r="C1609" s="56" t="s">
        <v>5</v>
      </c>
      <c r="D1609" s="56" t="s">
        <v>9</v>
      </c>
      <c r="E1609" s="56">
        <v>2019</v>
      </c>
      <c r="F1609" s="56">
        <v>109.53</v>
      </c>
      <c r="G1609" t="s">
        <v>232</v>
      </c>
      <c r="H1609">
        <v>142.6</v>
      </c>
    </row>
    <row r="1610" spans="1:8">
      <c r="A1610" s="220">
        <v>43831</v>
      </c>
      <c r="B1610" s="220">
        <v>44043</v>
      </c>
      <c r="C1610" s="56" t="s">
        <v>5</v>
      </c>
      <c r="D1610" s="56" t="s">
        <v>9</v>
      </c>
      <c r="E1610" s="56">
        <v>2020</v>
      </c>
      <c r="F1610" s="56">
        <v>0.65</v>
      </c>
      <c r="G1610" t="s">
        <v>232</v>
      </c>
      <c r="H1610">
        <v>0.91</v>
      </c>
    </row>
    <row r="1611" spans="1:8">
      <c r="A1611" s="220">
        <v>43466</v>
      </c>
      <c r="B1611" s="220">
        <v>43830</v>
      </c>
      <c r="C1611" s="56" t="s">
        <v>5</v>
      </c>
      <c r="D1611" s="56" t="s">
        <v>9</v>
      </c>
      <c r="E1611" s="56">
        <v>2019</v>
      </c>
      <c r="F1611" s="56">
        <v>249.04</v>
      </c>
      <c r="G1611" t="s">
        <v>232</v>
      </c>
      <c r="H1611">
        <v>324.24</v>
      </c>
    </row>
    <row r="1612" spans="1:8">
      <c r="A1612" s="220">
        <v>43466</v>
      </c>
      <c r="B1612" s="220">
        <v>43830</v>
      </c>
      <c r="C1612" s="56" t="s">
        <v>5</v>
      </c>
      <c r="D1612" s="56" t="s">
        <v>9</v>
      </c>
      <c r="E1612" s="56">
        <v>2019</v>
      </c>
      <c r="F1612" s="56">
        <v>619.47</v>
      </c>
      <c r="G1612" t="s">
        <v>232</v>
      </c>
      <c r="H1612">
        <v>806.52</v>
      </c>
    </row>
    <row r="1613" spans="1:8">
      <c r="A1613" s="220">
        <v>43678</v>
      </c>
      <c r="B1613" s="220">
        <v>43830</v>
      </c>
      <c r="C1613" s="56" t="s">
        <v>5</v>
      </c>
      <c r="D1613" s="56" t="s">
        <v>9</v>
      </c>
      <c r="E1613" s="56">
        <v>2019</v>
      </c>
      <c r="F1613" s="56">
        <v>103.77</v>
      </c>
      <c r="G1613" t="s">
        <v>232</v>
      </c>
      <c r="H1613">
        <v>135.1</v>
      </c>
    </row>
    <row r="1614" spans="1:8">
      <c r="A1614" s="220">
        <v>43466</v>
      </c>
      <c r="B1614" s="220">
        <v>43677</v>
      </c>
      <c r="C1614" s="56" t="s">
        <v>5</v>
      </c>
      <c r="D1614" s="56" t="s">
        <v>9</v>
      </c>
      <c r="E1614" s="56">
        <v>2019</v>
      </c>
      <c r="F1614" s="56">
        <v>286.89</v>
      </c>
      <c r="G1614" t="s">
        <v>232</v>
      </c>
      <c r="H1614">
        <v>373.52</v>
      </c>
    </row>
    <row r="1615" spans="1:8">
      <c r="A1615" s="220">
        <v>43831</v>
      </c>
      <c r="B1615" s="220">
        <v>44196</v>
      </c>
      <c r="C1615" s="56" t="s">
        <v>5</v>
      </c>
      <c r="D1615" s="56" t="s">
        <v>9</v>
      </c>
      <c r="E1615" s="56">
        <v>2020</v>
      </c>
      <c r="F1615" s="56">
        <v>581.35</v>
      </c>
      <c r="G1615" t="s">
        <v>232</v>
      </c>
      <c r="H1615">
        <v>808.96</v>
      </c>
    </row>
    <row r="1616" spans="1:8">
      <c r="A1616" s="220">
        <v>43831</v>
      </c>
      <c r="B1616" s="220">
        <v>44196</v>
      </c>
      <c r="C1616" s="56" t="s">
        <v>5</v>
      </c>
      <c r="D1616" s="56" t="s">
        <v>9</v>
      </c>
      <c r="E1616" s="56">
        <v>2020</v>
      </c>
      <c r="F1616" s="56">
        <v>1604.08</v>
      </c>
      <c r="G1616" t="s">
        <v>232</v>
      </c>
      <c r="H1616">
        <v>2232.12</v>
      </c>
    </row>
    <row r="1617" spans="1:8">
      <c r="A1617" s="220">
        <v>43466</v>
      </c>
      <c r="B1617" s="220">
        <v>43738</v>
      </c>
      <c r="C1617" s="56" t="s">
        <v>5</v>
      </c>
      <c r="D1617" s="56" t="s">
        <v>9</v>
      </c>
      <c r="E1617" s="56">
        <v>2019</v>
      </c>
      <c r="F1617" s="56">
        <v>471.58</v>
      </c>
      <c r="G1617" t="s">
        <v>232</v>
      </c>
      <c r="H1617">
        <v>613.98</v>
      </c>
    </row>
    <row r="1618" spans="1:8">
      <c r="A1618" s="220">
        <v>43831</v>
      </c>
      <c r="B1618" s="220">
        <v>44196</v>
      </c>
      <c r="C1618" s="56" t="s">
        <v>5</v>
      </c>
      <c r="D1618" s="56" t="s">
        <v>9</v>
      </c>
      <c r="E1618" s="56">
        <v>2020</v>
      </c>
      <c r="F1618" s="56">
        <v>3224.98</v>
      </c>
      <c r="G1618" t="s">
        <v>232</v>
      </c>
      <c r="H1618">
        <v>4487.6400000000003</v>
      </c>
    </row>
    <row r="1619" spans="1:8">
      <c r="A1619" s="220">
        <v>43525</v>
      </c>
      <c r="B1619" s="220">
        <v>43830</v>
      </c>
      <c r="C1619" s="56" t="s">
        <v>5</v>
      </c>
      <c r="D1619" s="56" t="s">
        <v>9</v>
      </c>
      <c r="E1619" s="56">
        <v>2019</v>
      </c>
      <c r="F1619" s="56">
        <v>617.38</v>
      </c>
      <c r="G1619" t="s">
        <v>232</v>
      </c>
      <c r="H1619">
        <v>803.8</v>
      </c>
    </row>
    <row r="1620" spans="1:8">
      <c r="A1620" s="220">
        <v>43831</v>
      </c>
      <c r="B1620" s="220">
        <v>44196</v>
      </c>
      <c r="C1620" s="56" t="s">
        <v>5</v>
      </c>
      <c r="D1620" s="56" t="s">
        <v>9</v>
      </c>
      <c r="E1620" s="56">
        <v>2020</v>
      </c>
      <c r="F1620" s="56">
        <v>236.46</v>
      </c>
      <c r="G1620" t="s">
        <v>232</v>
      </c>
      <c r="H1620">
        <v>329.04</v>
      </c>
    </row>
    <row r="1621" spans="1:8">
      <c r="A1621" s="220">
        <v>43467</v>
      </c>
      <c r="B1621" s="220">
        <v>43830</v>
      </c>
      <c r="C1621" s="56" t="s">
        <v>5</v>
      </c>
      <c r="D1621" s="56" t="s">
        <v>9</v>
      </c>
      <c r="E1621" s="56">
        <v>2019</v>
      </c>
      <c r="F1621" s="56">
        <v>370.43</v>
      </c>
      <c r="G1621" t="s">
        <v>232</v>
      </c>
      <c r="H1621">
        <v>482.28</v>
      </c>
    </row>
    <row r="1622" spans="1:8">
      <c r="A1622" s="220">
        <v>43466</v>
      </c>
      <c r="B1622" s="220">
        <v>43830</v>
      </c>
      <c r="C1622" s="56" t="s">
        <v>5</v>
      </c>
      <c r="D1622" s="56" t="s">
        <v>9</v>
      </c>
      <c r="E1622" s="56">
        <v>2019</v>
      </c>
      <c r="F1622" s="56">
        <v>249.04</v>
      </c>
      <c r="G1622" t="s">
        <v>232</v>
      </c>
      <c r="H1622">
        <v>324.24</v>
      </c>
    </row>
    <row r="1623" spans="1:8">
      <c r="A1623" s="220">
        <v>43466</v>
      </c>
      <c r="B1623" s="220">
        <v>43830</v>
      </c>
      <c r="C1623" s="56" t="s">
        <v>5</v>
      </c>
      <c r="D1623" s="56" t="s">
        <v>9</v>
      </c>
      <c r="E1623" s="56">
        <v>2019</v>
      </c>
      <c r="F1623" s="56">
        <v>740.86</v>
      </c>
      <c r="G1623" t="s">
        <v>232</v>
      </c>
      <c r="H1623">
        <v>964.56</v>
      </c>
    </row>
    <row r="1624" spans="1:8">
      <c r="A1624" s="220">
        <v>43466</v>
      </c>
      <c r="B1624" s="220">
        <v>43830</v>
      </c>
      <c r="C1624" s="56" t="s">
        <v>5</v>
      </c>
      <c r="D1624" s="56" t="s">
        <v>9</v>
      </c>
      <c r="E1624" s="56">
        <v>2019</v>
      </c>
      <c r="F1624" s="56">
        <v>749.7</v>
      </c>
      <c r="G1624" t="s">
        <v>232</v>
      </c>
      <c r="H1624">
        <v>976.08</v>
      </c>
    </row>
    <row r="1625" spans="1:8">
      <c r="A1625" s="220">
        <v>43466</v>
      </c>
      <c r="B1625" s="220">
        <v>43830</v>
      </c>
      <c r="C1625" s="56" t="s">
        <v>5</v>
      </c>
      <c r="D1625" s="56" t="s">
        <v>9</v>
      </c>
      <c r="E1625" s="56">
        <v>2019</v>
      </c>
      <c r="F1625" s="56">
        <v>1866.43</v>
      </c>
      <c r="G1625" t="s">
        <v>232</v>
      </c>
      <c r="H1625">
        <v>2430</v>
      </c>
    </row>
    <row r="1626" spans="1:8">
      <c r="A1626" s="220">
        <v>43466</v>
      </c>
      <c r="B1626" s="220">
        <v>43677</v>
      </c>
      <c r="C1626" s="56" t="s">
        <v>5</v>
      </c>
      <c r="D1626" s="56" t="s">
        <v>9</v>
      </c>
      <c r="E1626" s="56">
        <v>2019</v>
      </c>
      <c r="F1626" s="56">
        <v>145.27000000000001</v>
      </c>
      <c r="G1626" t="s">
        <v>232</v>
      </c>
      <c r="H1626">
        <v>189.14</v>
      </c>
    </row>
    <row r="1627" spans="1:8">
      <c r="A1627" s="220">
        <v>43466</v>
      </c>
      <c r="B1627" s="220">
        <v>43830</v>
      </c>
      <c r="C1627" s="56" t="s">
        <v>5</v>
      </c>
      <c r="D1627" s="56" t="s">
        <v>9</v>
      </c>
      <c r="E1627" s="56">
        <v>2019</v>
      </c>
      <c r="F1627" s="56">
        <v>249.04</v>
      </c>
      <c r="G1627" t="s">
        <v>232</v>
      </c>
      <c r="H1627">
        <v>324.24</v>
      </c>
    </row>
    <row r="1628" spans="1:8">
      <c r="A1628" s="220">
        <v>43466</v>
      </c>
      <c r="B1628" s="220">
        <v>43830</v>
      </c>
      <c r="C1628" s="56" t="s">
        <v>5</v>
      </c>
      <c r="D1628" s="56" t="s">
        <v>9</v>
      </c>
      <c r="E1628" s="56">
        <v>2019</v>
      </c>
      <c r="F1628" s="56">
        <v>249.04</v>
      </c>
      <c r="G1628" t="s">
        <v>232</v>
      </c>
      <c r="H1628">
        <v>324.24</v>
      </c>
    </row>
    <row r="1629" spans="1:8">
      <c r="A1629" s="220">
        <v>43466</v>
      </c>
      <c r="B1629" s="220">
        <v>43677</v>
      </c>
      <c r="C1629" s="56" t="s">
        <v>5</v>
      </c>
      <c r="D1629" s="56" t="s">
        <v>9</v>
      </c>
      <c r="E1629" s="56">
        <v>2019</v>
      </c>
      <c r="F1629" s="56">
        <v>290.55</v>
      </c>
      <c r="G1629" t="s">
        <v>232</v>
      </c>
      <c r="H1629">
        <v>378.28</v>
      </c>
    </row>
    <row r="1630" spans="1:8">
      <c r="A1630" s="220">
        <v>43831</v>
      </c>
      <c r="B1630" s="220">
        <v>44196</v>
      </c>
      <c r="C1630" s="56" t="s">
        <v>5</v>
      </c>
      <c r="D1630" s="56" t="s">
        <v>9</v>
      </c>
      <c r="E1630" s="56">
        <v>2020</v>
      </c>
      <c r="F1630" s="56">
        <v>824.68</v>
      </c>
      <c r="G1630" t="s">
        <v>232</v>
      </c>
      <c r="H1630">
        <v>1147.56</v>
      </c>
    </row>
    <row r="1631" spans="1:8">
      <c r="A1631" s="220">
        <v>43831</v>
      </c>
      <c r="B1631" s="220">
        <v>44196</v>
      </c>
      <c r="C1631" s="56" t="s">
        <v>5</v>
      </c>
      <c r="D1631" s="56" t="s">
        <v>9</v>
      </c>
      <c r="E1631" s="56">
        <v>2020</v>
      </c>
      <c r="F1631" s="56">
        <v>236.46</v>
      </c>
      <c r="G1631" t="s">
        <v>232</v>
      </c>
      <c r="H1631">
        <v>329.04</v>
      </c>
    </row>
    <row r="1632" spans="1:8">
      <c r="A1632" s="220">
        <v>43466</v>
      </c>
      <c r="B1632" s="220">
        <v>43830</v>
      </c>
      <c r="C1632" s="56" t="s">
        <v>5</v>
      </c>
      <c r="D1632" s="56" t="s">
        <v>9</v>
      </c>
      <c r="E1632" s="56">
        <v>2019</v>
      </c>
      <c r="F1632" s="56">
        <v>389.79</v>
      </c>
      <c r="G1632" t="s">
        <v>232</v>
      </c>
      <c r="H1632">
        <v>507.49</v>
      </c>
    </row>
    <row r="1633" spans="1:8">
      <c r="A1633" s="220">
        <v>43466</v>
      </c>
      <c r="B1633" s="220">
        <v>43830</v>
      </c>
      <c r="C1633" s="56" t="s">
        <v>5</v>
      </c>
      <c r="D1633" s="56" t="s">
        <v>9</v>
      </c>
      <c r="E1633" s="56">
        <v>2019</v>
      </c>
      <c r="F1633" s="56">
        <v>249.04</v>
      </c>
      <c r="G1633" t="s">
        <v>232</v>
      </c>
      <c r="H1633">
        <v>324.24</v>
      </c>
    </row>
    <row r="1634" spans="1:8">
      <c r="A1634" s="220">
        <v>43466</v>
      </c>
      <c r="B1634" s="220">
        <v>43677</v>
      </c>
      <c r="C1634" s="56" t="s">
        <v>5</v>
      </c>
      <c r="D1634" s="56" t="s">
        <v>9</v>
      </c>
      <c r="E1634" s="56">
        <v>2019</v>
      </c>
      <c r="F1634" s="56">
        <v>145.27000000000001</v>
      </c>
      <c r="G1634" t="s">
        <v>232</v>
      </c>
      <c r="H1634">
        <v>189.14</v>
      </c>
    </row>
    <row r="1635" spans="1:8">
      <c r="A1635" s="220">
        <v>43831</v>
      </c>
      <c r="B1635" s="220">
        <v>43921</v>
      </c>
      <c r="C1635" s="56" t="s">
        <v>5</v>
      </c>
      <c r="D1635" s="56" t="s">
        <v>9</v>
      </c>
      <c r="E1635" s="56">
        <v>2020</v>
      </c>
      <c r="F1635" s="56">
        <v>146.57</v>
      </c>
      <c r="G1635" t="s">
        <v>232</v>
      </c>
      <c r="H1635">
        <v>203.95</v>
      </c>
    </row>
    <row r="1636" spans="1:8">
      <c r="A1636" s="220">
        <v>43466</v>
      </c>
      <c r="B1636" s="220">
        <v>43830</v>
      </c>
      <c r="C1636" s="56" t="s">
        <v>5</v>
      </c>
      <c r="D1636" s="56" t="s">
        <v>9</v>
      </c>
      <c r="E1636" s="56">
        <v>2019</v>
      </c>
      <c r="F1636" s="56">
        <v>249.04</v>
      </c>
      <c r="G1636" t="s">
        <v>232</v>
      </c>
      <c r="H1636">
        <v>324.24</v>
      </c>
    </row>
    <row r="1637" spans="1:8">
      <c r="A1637" s="220">
        <v>43831</v>
      </c>
      <c r="B1637" s="220">
        <v>44196</v>
      </c>
      <c r="C1637" s="56" t="s">
        <v>5</v>
      </c>
      <c r="D1637" s="56" t="s">
        <v>9</v>
      </c>
      <c r="E1637" s="56">
        <v>2020</v>
      </c>
      <c r="F1637" s="56">
        <v>709.38</v>
      </c>
      <c r="G1637" t="s">
        <v>232</v>
      </c>
      <c r="H1637">
        <v>987.12</v>
      </c>
    </row>
    <row r="1638" spans="1:8">
      <c r="A1638" s="220">
        <v>43831</v>
      </c>
      <c r="B1638" s="220">
        <v>44196</v>
      </c>
      <c r="C1638" s="56" t="s">
        <v>5</v>
      </c>
      <c r="D1638" s="56" t="s">
        <v>9</v>
      </c>
      <c r="E1638" s="56">
        <v>2020</v>
      </c>
      <c r="F1638" s="56">
        <v>472.92</v>
      </c>
      <c r="G1638" t="s">
        <v>232</v>
      </c>
      <c r="H1638">
        <v>658.08</v>
      </c>
    </row>
    <row r="1639" spans="1:8">
      <c r="A1639" s="220">
        <v>43831</v>
      </c>
      <c r="B1639" s="220">
        <v>44196</v>
      </c>
      <c r="C1639" s="56" t="s">
        <v>5</v>
      </c>
      <c r="D1639" s="56" t="s">
        <v>9</v>
      </c>
      <c r="E1639" s="56">
        <v>2020</v>
      </c>
      <c r="F1639" s="56">
        <v>472.92</v>
      </c>
      <c r="G1639" t="s">
        <v>232</v>
      </c>
      <c r="H1639">
        <v>658.08</v>
      </c>
    </row>
    <row r="1640" spans="1:8">
      <c r="A1640" s="220">
        <v>43466</v>
      </c>
      <c r="B1640" s="220">
        <v>43830</v>
      </c>
      <c r="C1640" s="56" t="s">
        <v>5</v>
      </c>
      <c r="D1640" s="56" t="s">
        <v>9</v>
      </c>
      <c r="E1640" s="56">
        <v>2019</v>
      </c>
      <c r="F1640" s="56">
        <v>249.04</v>
      </c>
      <c r="G1640" t="s">
        <v>232</v>
      </c>
      <c r="H1640">
        <v>324.24</v>
      </c>
    </row>
    <row r="1641" spans="1:8">
      <c r="A1641" s="220">
        <v>43466</v>
      </c>
      <c r="B1641" s="220">
        <v>43677</v>
      </c>
      <c r="C1641" s="56" t="s">
        <v>5</v>
      </c>
      <c r="D1641" s="56" t="s">
        <v>9</v>
      </c>
      <c r="E1641" s="56">
        <v>2019</v>
      </c>
      <c r="F1641" s="56">
        <v>216.08</v>
      </c>
      <c r="G1641" t="s">
        <v>232</v>
      </c>
      <c r="H1641">
        <v>281.33</v>
      </c>
    </row>
    <row r="1642" spans="1:8">
      <c r="A1642" s="220">
        <v>43831</v>
      </c>
      <c r="B1642" s="220">
        <v>44196</v>
      </c>
      <c r="C1642" s="56" t="s">
        <v>5</v>
      </c>
      <c r="D1642" s="56" t="s">
        <v>9</v>
      </c>
      <c r="E1642" s="56">
        <v>2020</v>
      </c>
      <c r="F1642" s="56">
        <v>236.46</v>
      </c>
      <c r="G1642" t="s">
        <v>232</v>
      </c>
      <c r="H1642">
        <v>329.04</v>
      </c>
    </row>
    <row r="1643" spans="1:8">
      <c r="A1643" s="220">
        <v>43497</v>
      </c>
      <c r="B1643" s="220">
        <v>43830</v>
      </c>
      <c r="C1643" s="56" t="s">
        <v>5</v>
      </c>
      <c r="D1643" s="56" t="s">
        <v>9</v>
      </c>
      <c r="E1643" s="56">
        <v>2019</v>
      </c>
      <c r="F1643" s="56">
        <v>228.29</v>
      </c>
      <c r="G1643" t="s">
        <v>232</v>
      </c>
      <c r="H1643">
        <v>297.22000000000003</v>
      </c>
    </row>
    <row r="1644" spans="1:8">
      <c r="A1644" s="220">
        <v>43466</v>
      </c>
      <c r="B1644" s="220">
        <v>43677</v>
      </c>
      <c r="C1644" s="56" t="s">
        <v>5</v>
      </c>
      <c r="D1644" s="56" t="s">
        <v>9</v>
      </c>
      <c r="E1644" s="56">
        <v>2019</v>
      </c>
      <c r="F1644" s="56">
        <v>216.08</v>
      </c>
      <c r="G1644" t="s">
        <v>232</v>
      </c>
      <c r="H1644">
        <v>281.33</v>
      </c>
    </row>
    <row r="1645" spans="1:8">
      <c r="A1645" s="220">
        <v>43831</v>
      </c>
      <c r="B1645" s="220">
        <v>44196</v>
      </c>
      <c r="C1645" s="56" t="s">
        <v>5</v>
      </c>
      <c r="D1645" s="56" t="s">
        <v>9</v>
      </c>
      <c r="E1645" s="56">
        <v>2020</v>
      </c>
      <c r="F1645" s="56">
        <v>472.92</v>
      </c>
      <c r="G1645" t="s">
        <v>232</v>
      </c>
      <c r="H1645">
        <v>658.08</v>
      </c>
    </row>
    <row r="1646" spans="1:8">
      <c r="A1646" s="220">
        <v>43831</v>
      </c>
      <c r="B1646" s="220">
        <v>44043</v>
      </c>
      <c r="C1646" s="56" t="s">
        <v>5</v>
      </c>
      <c r="D1646" s="56" t="s">
        <v>9</v>
      </c>
      <c r="E1646" s="56">
        <v>2020</v>
      </c>
      <c r="F1646" s="56">
        <v>177.35</v>
      </c>
      <c r="G1646" t="s">
        <v>232</v>
      </c>
      <c r="H1646">
        <v>246.78</v>
      </c>
    </row>
    <row r="1647" spans="1:8">
      <c r="A1647" s="220">
        <v>43831</v>
      </c>
      <c r="B1647" s="220">
        <v>44196</v>
      </c>
      <c r="C1647" s="56" t="s">
        <v>5</v>
      </c>
      <c r="D1647" s="56" t="s">
        <v>9</v>
      </c>
      <c r="E1647" s="56">
        <v>2020</v>
      </c>
      <c r="F1647" s="56">
        <v>1061.1400000000001</v>
      </c>
      <c r="G1647" t="s">
        <v>232</v>
      </c>
      <c r="H1647">
        <v>1476.6</v>
      </c>
    </row>
    <row r="1648" spans="1:8">
      <c r="A1648" s="220">
        <v>43466</v>
      </c>
      <c r="B1648" s="220">
        <v>43830</v>
      </c>
      <c r="C1648" s="56" t="s">
        <v>5</v>
      </c>
      <c r="D1648" s="56" t="s">
        <v>9</v>
      </c>
      <c r="E1648" s="56">
        <v>2019</v>
      </c>
      <c r="F1648" s="56">
        <v>370.43</v>
      </c>
      <c r="G1648" t="s">
        <v>232</v>
      </c>
      <c r="H1648">
        <v>482.28</v>
      </c>
    </row>
    <row r="1649" spans="1:8">
      <c r="A1649" s="220">
        <v>43831</v>
      </c>
      <c r="B1649" s="220">
        <v>44196</v>
      </c>
      <c r="C1649" s="56" t="s">
        <v>5</v>
      </c>
      <c r="D1649" s="56" t="s">
        <v>9</v>
      </c>
      <c r="E1649" s="56">
        <v>2020</v>
      </c>
      <c r="F1649" s="56">
        <v>1279.06</v>
      </c>
      <c r="G1649" t="s">
        <v>232</v>
      </c>
      <c r="H1649">
        <v>1779.84</v>
      </c>
    </row>
    <row r="1650" spans="1:8">
      <c r="A1650" s="220">
        <v>43466</v>
      </c>
      <c r="B1650" s="220">
        <v>43830</v>
      </c>
      <c r="C1650" s="56" t="s">
        <v>5</v>
      </c>
      <c r="D1650" s="56" t="s">
        <v>9</v>
      </c>
      <c r="E1650" s="56">
        <v>2019</v>
      </c>
      <c r="F1650" s="56">
        <v>249.04</v>
      </c>
      <c r="G1650" t="s">
        <v>232</v>
      </c>
      <c r="H1650">
        <v>324.24</v>
      </c>
    </row>
    <row r="1651" spans="1:8">
      <c r="A1651" s="220">
        <v>43481</v>
      </c>
      <c r="B1651" s="220">
        <v>43830</v>
      </c>
      <c r="C1651" s="56" t="s">
        <v>5</v>
      </c>
      <c r="D1651" s="56" t="s">
        <v>9</v>
      </c>
      <c r="E1651" s="56">
        <v>2019</v>
      </c>
      <c r="F1651" s="56">
        <v>239.36</v>
      </c>
      <c r="G1651" t="s">
        <v>232</v>
      </c>
      <c r="H1651">
        <v>311.63</v>
      </c>
    </row>
    <row r="1652" spans="1:8">
      <c r="A1652" s="220">
        <v>43831</v>
      </c>
      <c r="B1652" s="220">
        <v>44196</v>
      </c>
      <c r="C1652" s="56" t="s">
        <v>5</v>
      </c>
      <c r="D1652" s="56" t="s">
        <v>9</v>
      </c>
      <c r="E1652" s="56">
        <v>2020</v>
      </c>
      <c r="F1652" s="56">
        <v>236.46</v>
      </c>
      <c r="G1652" t="s">
        <v>232</v>
      </c>
      <c r="H1652">
        <v>329.04</v>
      </c>
    </row>
    <row r="1653" spans="1:8">
      <c r="A1653" s="220">
        <v>43831</v>
      </c>
      <c r="B1653" s="220">
        <v>44196</v>
      </c>
      <c r="C1653" s="56" t="s">
        <v>5</v>
      </c>
      <c r="D1653" s="56" t="s">
        <v>9</v>
      </c>
      <c r="E1653" s="56">
        <v>2020</v>
      </c>
      <c r="F1653" s="56">
        <v>939.98</v>
      </c>
      <c r="G1653" t="s">
        <v>232</v>
      </c>
      <c r="H1653">
        <v>1308</v>
      </c>
    </row>
    <row r="1654" spans="1:8">
      <c r="A1654" s="220">
        <v>43831</v>
      </c>
      <c r="B1654" s="220">
        <v>44196</v>
      </c>
      <c r="C1654" s="56" t="s">
        <v>5</v>
      </c>
      <c r="D1654" s="56" t="s">
        <v>9</v>
      </c>
      <c r="E1654" s="56">
        <v>2020</v>
      </c>
      <c r="F1654" s="56">
        <v>1771.33</v>
      </c>
      <c r="G1654" t="s">
        <v>232</v>
      </c>
      <c r="H1654">
        <v>2464.85</v>
      </c>
    </row>
    <row r="1655" spans="1:8">
      <c r="A1655" s="220">
        <v>43466</v>
      </c>
      <c r="B1655" s="220">
        <v>43830</v>
      </c>
      <c r="C1655" s="56" t="s">
        <v>5</v>
      </c>
      <c r="D1655" s="56" t="s">
        <v>9</v>
      </c>
      <c r="E1655" s="56">
        <v>2019</v>
      </c>
      <c r="F1655" s="56">
        <v>740.86</v>
      </c>
      <c r="G1655" t="s">
        <v>232</v>
      </c>
      <c r="H1655">
        <v>964.56</v>
      </c>
    </row>
    <row r="1656" spans="1:8">
      <c r="A1656" s="220">
        <v>43831</v>
      </c>
      <c r="B1656" s="220">
        <v>44196</v>
      </c>
      <c r="C1656" s="56" t="s">
        <v>5</v>
      </c>
      <c r="D1656" s="56" t="s">
        <v>9</v>
      </c>
      <c r="E1656" s="56">
        <v>2020</v>
      </c>
      <c r="F1656" s="56">
        <v>1650.47</v>
      </c>
      <c r="G1656" t="s">
        <v>232</v>
      </c>
      <c r="H1656">
        <v>2296.67</v>
      </c>
    </row>
    <row r="1657" spans="1:8">
      <c r="A1657" s="220">
        <v>43831</v>
      </c>
      <c r="B1657" s="220">
        <v>44196</v>
      </c>
      <c r="C1657" s="56" t="s">
        <v>5</v>
      </c>
      <c r="D1657" s="56" t="s">
        <v>9</v>
      </c>
      <c r="E1657" s="56">
        <v>2020</v>
      </c>
      <c r="F1657" s="56">
        <v>512.33000000000004</v>
      </c>
      <c r="G1657" t="s">
        <v>232</v>
      </c>
      <c r="H1657">
        <v>712.92</v>
      </c>
    </row>
    <row r="1658" spans="1:8">
      <c r="A1658" s="220">
        <v>43831</v>
      </c>
      <c r="B1658" s="220">
        <v>44196</v>
      </c>
      <c r="C1658" s="56" t="s">
        <v>5</v>
      </c>
      <c r="D1658" s="56" t="s">
        <v>9</v>
      </c>
      <c r="E1658" s="56">
        <v>2020</v>
      </c>
      <c r="F1658" s="56">
        <v>344.08</v>
      </c>
      <c r="G1658" t="s">
        <v>232</v>
      </c>
      <c r="H1658">
        <v>478.8</v>
      </c>
    </row>
    <row r="1659" spans="1:8">
      <c r="A1659" s="220">
        <v>43466</v>
      </c>
      <c r="B1659" s="220">
        <v>43830</v>
      </c>
      <c r="C1659" s="56" t="s">
        <v>5</v>
      </c>
      <c r="D1659" s="56" t="s">
        <v>9</v>
      </c>
      <c r="E1659" s="56">
        <v>2019</v>
      </c>
      <c r="F1659" s="56">
        <v>903.01</v>
      </c>
      <c r="G1659" t="s">
        <v>232</v>
      </c>
      <c r="H1659">
        <v>1175.68</v>
      </c>
    </row>
    <row r="1660" spans="1:8">
      <c r="A1660" s="220">
        <v>43466</v>
      </c>
      <c r="B1660" s="220">
        <v>43830</v>
      </c>
      <c r="C1660" s="56" t="s">
        <v>5</v>
      </c>
      <c r="D1660" s="56" t="s">
        <v>9</v>
      </c>
      <c r="E1660" s="56">
        <v>2019</v>
      </c>
      <c r="F1660" s="56">
        <v>752.93</v>
      </c>
      <c r="G1660" t="s">
        <v>232</v>
      </c>
      <c r="H1660">
        <v>980.28</v>
      </c>
    </row>
    <row r="1661" spans="1:8">
      <c r="A1661" s="220">
        <v>43831</v>
      </c>
      <c r="B1661" s="220">
        <v>44196</v>
      </c>
      <c r="C1661" s="56" t="s">
        <v>5</v>
      </c>
      <c r="D1661" s="56" t="s">
        <v>9</v>
      </c>
      <c r="E1661" s="56">
        <v>2020</v>
      </c>
      <c r="F1661" s="56">
        <v>2014.8</v>
      </c>
      <c r="G1661" t="s">
        <v>232</v>
      </c>
      <c r="H1661">
        <v>2803.64</v>
      </c>
    </row>
    <row r="1662" spans="1:8">
      <c r="A1662" s="220">
        <v>43831</v>
      </c>
      <c r="B1662" s="220">
        <v>44196</v>
      </c>
      <c r="C1662" s="56" t="s">
        <v>5</v>
      </c>
      <c r="D1662" s="56" t="s">
        <v>9</v>
      </c>
      <c r="E1662" s="56">
        <v>2020</v>
      </c>
      <c r="F1662" s="56">
        <v>862.62</v>
      </c>
      <c r="G1662" t="s">
        <v>232</v>
      </c>
      <c r="H1662">
        <v>1200.3599999999999</v>
      </c>
    </row>
    <row r="1663" spans="1:8">
      <c r="A1663" s="220">
        <v>43466</v>
      </c>
      <c r="B1663" s="220">
        <v>43830</v>
      </c>
      <c r="C1663" s="56" t="s">
        <v>5</v>
      </c>
      <c r="D1663" s="56" t="s">
        <v>9</v>
      </c>
      <c r="E1663" s="56">
        <v>2019</v>
      </c>
      <c r="F1663" s="56">
        <v>687.86</v>
      </c>
      <c r="G1663" t="s">
        <v>232</v>
      </c>
      <c r="H1663">
        <v>895.56</v>
      </c>
    </row>
    <row r="1664" spans="1:8">
      <c r="A1664" s="220">
        <v>43466</v>
      </c>
      <c r="B1664" s="220">
        <v>43830</v>
      </c>
      <c r="C1664" s="56" t="s">
        <v>5</v>
      </c>
      <c r="D1664" s="56" t="s">
        <v>9</v>
      </c>
      <c r="E1664" s="56">
        <v>2019</v>
      </c>
      <c r="F1664" s="56">
        <v>711.55</v>
      </c>
      <c r="G1664" t="s">
        <v>232</v>
      </c>
      <c r="H1664">
        <v>926.4</v>
      </c>
    </row>
    <row r="1665" spans="1:8">
      <c r="A1665" s="220">
        <v>43466</v>
      </c>
      <c r="B1665" s="220">
        <v>43830</v>
      </c>
      <c r="C1665" s="56" t="s">
        <v>5</v>
      </c>
      <c r="D1665" s="56" t="s">
        <v>9</v>
      </c>
      <c r="E1665" s="56">
        <v>2019</v>
      </c>
      <c r="F1665" s="56">
        <v>1974.6</v>
      </c>
      <c r="G1665" t="s">
        <v>232</v>
      </c>
      <c r="H1665">
        <v>2570.84</v>
      </c>
    </row>
    <row r="1666" spans="1:8">
      <c r="A1666" s="220">
        <v>43466</v>
      </c>
      <c r="B1666" s="220">
        <v>43830</v>
      </c>
      <c r="C1666" s="56" t="s">
        <v>5</v>
      </c>
      <c r="D1666" s="56" t="s">
        <v>9</v>
      </c>
      <c r="E1666" s="56">
        <v>2019</v>
      </c>
      <c r="F1666" s="56">
        <v>4021.46</v>
      </c>
      <c r="G1666" t="s">
        <v>232</v>
      </c>
      <c r="H1666">
        <v>5235.76</v>
      </c>
    </row>
    <row r="1667" spans="1:8">
      <c r="A1667" s="220">
        <v>43831</v>
      </c>
      <c r="B1667" s="220">
        <v>44196</v>
      </c>
      <c r="C1667" s="56" t="s">
        <v>5</v>
      </c>
      <c r="D1667" s="56" t="s">
        <v>9</v>
      </c>
      <c r="E1667" s="56">
        <v>2020</v>
      </c>
      <c r="F1667" s="56">
        <v>397.31</v>
      </c>
      <c r="G1667" t="s">
        <v>232</v>
      </c>
      <c r="H1667">
        <v>552.86</v>
      </c>
    </row>
    <row r="1668" spans="1:8">
      <c r="A1668" s="220">
        <v>43831</v>
      </c>
      <c r="B1668" s="220">
        <v>44196</v>
      </c>
      <c r="C1668" s="56" t="s">
        <v>5</v>
      </c>
      <c r="D1668" s="56" t="s">
        <v>9</v>
      </c>
      <c r="E1668" s="56">
        <v>2020</v>
      </c>
      <c r="F1668" s="56">
        <v>434.18</v>
      </c>
      <c r="G1668" t="s">
        <v>232</v>
      </c>
      <c r="H1668">
        <v>604.16999999999996</v>
      </c>
    </row>
    <row r="1669" spans="1:8">
      <c r="A1669" s="220">
        <v>43466</v>
      </c>
      <c r="B1669" s="220">
        <v>43830</v>
      </c>
      <c r="C1669" s="56" t="s">
        <v>5</v>
      </c>
      <c r="D1669" s="56" t="s">
        <v>9</v>
      </c>
      <c r="E1669" s="56">
        <v>2019</v>
      </c>
      <c r="F1669" s="56">
        <v>791.55</v>
      </c>
      <c r="G1669" t="s">
        <v>232</v>
      </c>
      <c r="H1669">
        <v>1030.56</v>
      </c>
    </row>
    <row r="1670" spans="1:8">
      <c r="A1670" s="220">
        <v>43831</v>
      </c>
      <c r="B1670" s="220">
        <v>44196</v>
      </c>
      <c r="C1670" s="56" t="s">
        <v>5</v>
      </c>
      <c r="D1670" s="56" t="s">
        <v>9</v>
      </c>
      <c r="E1670" s="56">
        <v>2020</v>
      </c>
      <c r="F1670" s="56">
        <v>257.64999999999998</v>
      </c>
      <c r="G1670" t="s">
        <v>232</v>
      </c>
      <c r="H1670">
        <v>358.52</v>
      </c>
    </row>
    <row r="1671" spans="1:8">
      <c r="A1671" s="220">
        <v>43831</v>
      </c>
      <c r="B1671" s="220">
        <v>44196</v>
      </c>
      <c r="C1671" s="56" t="s">
        <v>5</v>
      </c>
      <c r="D1671" s="56" t="s">
        <v>9</v>
      </c>
      <c r="E1671" s="56">
        <v>2020</v>
      </c>
      <c r="F1671" s="56">
        <v>1113.92</v>
      </c>
      <c r="G1671" t="s">
        <v>232</v>
      </c>
      <c r="H1671">
        <v>1550.04</v>
      </c>
    </row>
    <row r="1672" spans="1:8">
      <c r="A1672" s="220">
        <v>43831</v>
      </c>
      <c r="B1672" s="220">
        <v>44196</v>
      </c>
      <c r="C1672" s="56" t="s">
        <v>5</v>
      </c>
      <c r="D1672" s="56" t="s">
        <v>9</v>
      </c>
      <c r="E1672" s="56">
        <v>2020</v>
      </c>
      <c r="F1672" s="56">
        <v>962.31</v>
      </c>
      <c r="G1672" t="s">
        <v>232</v>
      </c>
      <c r="H1672">
        <v>1339.08</v>
      </c>
    </row>
    <row r="1673" spans="1:8">
      <c r="A1673" s="220">
        <v>43466</v>
      </c>
      <c r="B1673" s="220">
        <v>43830</v>
      </c>
      <c r="C1673" s="56" t="s">
        <v>5</v>
      </c>
      <c r="D1673" s="56" t="s">
        <v>9</v>
      </c>
      <c r="E1673" s="56">
        <v>2019</v>
      </c>
      <c r="F1673" s="56">
        <v>1172.8499999999999</v>
      </c>
      <c r="G1673" t="s">
        <v>232</v>
      </c>
      <c r="H1673">
        <v>1527</v>
      </c>
    </row>
    <row r="1674" spans="1:8">
      <c r="A1674" s="220">
        <v>43831</v>
      </c>
      <c r="B1674" s="220">
        <v>44196</v>
      </c>
      <c r="C1674" s="56" t="s">
        <v>5</v>
      </c>
      <c r="D1674" s="56" t="s">
        <v>9</v>
      </c>
      <c r="E1674" s="56">
        <v>2020</v>
      </c>
      <c r="F1674" s="56">
        <v>469.49</v>
      </c>
      <c r="G1674" t="s">
        <v>232</v>
      </c>
      <c r="H1674">
        <v>653.30999999999995</v>
      </c>
    </row>
    <row r="1675" spans="1:8">
      <c r="A1675" s="220">
        <v>43831</v>
      </c>
      <c r="B1675" s="220">
        <v>44196</v>
      </c>
      <c r="C1675" s="56" t="s">
        <v>5</v>
      </c>
      <c r="D1675" s="56" t="s">
        <v>9</v>
      </c>
      <c r="E1675" s="56">
        <v>2020</v>
      </c>
      <c r="F1675" s="56">
        <v>1362.19</v>
      </c>
      <c r="G1675" t="s">
        <v>232</v>
      </c>
      <c r="H1675">
        <v>1895.52</v>
      </c>
    </row>
    <row r="1676" spans="1:8">
      <c r="A1676" s="220">
        <v>43831</v>
      </c>
      <c r="B1676" s="220">
        <v>44196</v>
      </c>
      <c r="C1676" s="56" t="s">
        <v>5</v>
      </c>
      <c r="D1676" s="56" t="s">
        <v>9</v>
      </c>
      <c r="E1676" s="56">
        <v>2020</v>
      </c>
      <c r="F1676" s="56">
        <v>977.92</v>
      </c>
      <c r="G1676" t="s">
        <v>232</v>
      </c>
      <c r="H1676">
        <v>1360.8</v>
      </c>
    </row>
    <row r="1677" spans="1:8">
      <c r="A1677" s="220">
        <v>43466</v>
      </c>
      <c r="B1677" s="220">
        <v>43830</v>
      </c>
      <c r="C1677" s="56" t="s">
        <v>5</v>
      </c>
      <c r="D1677" s="56" t="s">
        <v>9</v>
      </c>
      <c r="E1677" s="56">
        <v>2019</v>
      </c>
      <c r="F1677" s="56">
        <v>426.37</v>
      </c>
      <c r="G1677" t="s">
        <v>232</v>
      </c>
      <c r="H1677">
        <v>555.12</v>
      </c>
    </row>
    <row r="1678" spans="1:8">
      <c r="A1678" s="220">
        <v>43831</v>
      </c>
      <c r="B1678" s="220">
        <v>44196</v>
      </c>
      <c r="C1678" s="56" t="s">
        <v>5</v>
      </c>
      <c r="D1678" s="56" t="s">
        <v>9</v>
      </c>
      <c r="E1678" s="56">
        <v>2020</v>
      </c>
      <c r="F1678" s="56">
        <v>1655.39</v>
      </c>
      <c r="G1678" t="s">
        <v>232</v>
      </c>
      <c r="H1678">
        <v>2303.52</v>
      </c>
    </row>
    <row r="1679" spans="1:8">
      <c r="A1679" s="220">
        <v>43831</v>
      </c>
      <c r="B1679" s="220">
        <v>44196</v>
      </c>
      <c r="C1679" s="56" t="s">
        <v>5</v>
      </c>
      <c r="D1679" s="56" t="s">
        <v>9</v>
      </c>
      <c r="E1679" s="56">
        <v>2020</v>
      </c>
      <c r="F1679" s="56">
        <v>807.35</v>
      </c>
      <c r="G1679" t="s">
        <v>232</v>
      </c>
      <c r="H1679">
        <v>1123.44</v>
      </c>
    </row>
    <row r="1680" spans="1:8">
      <c r="A1680" s="220">
        <v>43831</v>
      </c>
      <c r="B1680" s="220">
        <v>44196</v>
      </c>
      <c r="C1680" s="56" t="s">
        <v>5</v>
      </c>
      <c r="D1680" s="56" t="s">
        <v>9</v>
      </c>
      <c r="E1680" s="56">
        <v>2020</v>
      </c>
      <c r="F1680" s="56">
        <v>1898.41</v>
      </c>
      <c r="G1680" t="s">
        <v>232</v>
      </c>
      <c r="H1680">
        <v>2641.68</v>
      </c>
    </row>
    <row r="1681" spans="1:8">
      <c r="A1681" s="220">
        <v>43466</v>
      </c>
      <c r="B1681" s="220">
        <v>43830</v>
      </c>
      <c r="C1681" s="56" t="s">
        <v>5</v>
      </c>
      <c r="D1681" s="56" t="s">
        <v>9</v>
      </c>
      <c r="E1681" s="56">
        <v>2019</v>
      </c>
      <c r="F1681" s="56">
        <v>908.23</v>
      </c>
      <c r="G1681" t="s">
        <v>232</v>
      </c>
      <c r="H1681">
        <v>1182.48</v>
      </c>
    </row>
    <row r="1682" spans="1:8">
      <c r="A1682" s="220">
        <v>43831</v>
      </c>
      <c r="B1682" s="220">
        <v>44196</v>
      </c>
      <c r="C1682" s="56" t="s">
        <v>5</v>
      </c>
      <c r="D1682" s="56" t="s">
        <v>9</v>
      </c>
      <c r="E1682" s="56">
        <v>2020</v>
      </c>
      <c r="F1682" s="56">
        <v>530.01</v>
      </c>
      <c r="G1682" t="s">
        <v>232</v>
      </c>
      <c r="H1682">
        <v>737.52</v>
      </c>
    </row>
    <row r="1683" spans="1:8">
      <c r="A1683" s="220">
        <v>43831</v>
      </c>
      <c r="B1683" s="220">
        <v>44196</v>
      </c>
      <c r="C1683" s="56" t="s">
        <v>5</v>
      </c>
      <c r="D1683" s="56" t="s">
        <v>9</v>
      </c>
      <c r="E1683" s="56">
        <v>2020</v>
      </c>
      <c r="F1683" s="56">
        <v>3293.22</v>
      </c>
      <c r="G1683" t="s">
        <v>232</v>
      </c>
      <c r="H1683">
        <v>4582.59</v>
      </c>
    </row>
    <row r="1684" spans="1:8">
      <c r="A1684" s="220">
        <v>43466</v>
      </c>
      <c r="B1684" s="220">
        <v>43830</v>
      </c>
      <c r="C1684" s="56" t="s">
        <v>5</v>
      </c>
      <c r="D1684" s="56" t="s">
        <v>9</v>
      </c>
      <c r="E1684" s="56">
        <v>2019</v>
      </c>
      <c r="F1684" s="56">
        <v>655.96</v>
      </c>
      <c r="G1684" t="s">
        <v>232</v>
      </c>
      <c r="H1684">
        <v>854.03</v>
      </c>
    </row>
    <row r="1685" spans="1:8">
      <c r="A1685" s="220">
        <v>43466</v>
      </c>
      <c r="B1685" s="220">
        <v>43830</v>
      </c>
      <c r="C1685" s="56" t="s">
        <v>5</v>
      </c>
      <c r="D1685" s="56" t="s">
        <v>9</v>
      </c>
      <c r="E1685" s="56">
        <v>2019</v>
      </c>
      <c r="F1685" s="56">
        <v>1345.95</v>
      </c>
      <c r="G1685" t="s">
        <v>232</v>
      </c>
      <c r="H1685">
        <v>1752.37</v>
      </c>
    </row>
    <row r="1686" spans="1:8">
      <c r="A1686" s="220">
        <v>43466</v>
      </c>
      <c r="B1686" s="220">
        <v>43830</v>
      </c>
      <c r="C1686" s="56" t="s">
        <v>5</v>
      </c>
      <c r="D1686" s="56" t="s">
        <v>9</v>
      </c>
      <c r="E1686" s="56">
        <v>2019</v>
      </c>
      <c r="F1686" s="56">
        <v>734.22</v>
      </c>
      <c r="G1686" t="s">
        <v>232</v>
      </c>
      <c r="H1686">
        <v>955.92</v>
      </c>
    </row>
    <row r="1687" spans="1:8">
      <c r="A1687" s="220">
        <v>43831</v>
      </c>
      <c r="B1687" s="220">
        <v>44196</v>
      </c>
      <c r="C1687" s="56" t="s">
        <v>5</v>
      </c>
      <c r="D1687" s="56" t="s">
        <v>9</v>
      </c>
      <c r="E1687" s="56">
        <v>2020</v>
      </c>
      <c r="F1687" s="56">
        <v>594.77</v>
      </c>
      <c r="G1687" t="s">
        <v>232</v>
      </c>
      <c r="H1687">
        <v>827.64</v>
      </c>
    </row>
    <row r="1688" spans="1:8">
      <c r="A1688" s="220">
        <v>43466</v>
      </c>
      <c r="B1688" s="220">
        <v>43830</v>
      </c>
      <c r="C1688" s="56" t="s">
        <v>5</v>
      </c>
      <c r="D1688" s="56" t="s">
        <v>9</v>
      </c>
      <c r="E1688" s="56">
        <v>2019</v>
      </c>
      <c r="F1688" s="56">
        <v>1172.8499999999999</v>
      </c>
      <c r="G1688" t="s">
        <v>232</v>
      </c>
      <c r="H1688">
        <v>1527</v>
      </c>
    </row>
    <row r="1689" spans="1:8">
      <c r="A1689" s="220">
        <v>43466</v>
      </c>
      <c r="B1689" s="220">
        <v>43830</v>
      </c>
      <c r="C1689" s="56" t="s">
        <v>5</v>
      </c>
      <c r="D1689" s="56" t="s">
        <v>9</v>
      </c>
      <c r="E1689" s="56">
        <v>2019</v>
      </c>
      <c r="F1689" s="56">
        <v>626.29</v>
      </c>
      <c r="G1689" t="s">
        <v>232</v>
      </c>
      <c r="H1689">
        <v>815.4</v>
      </c>
    </row>
    <row r="1690" spans="1:8">
      <c r="A1690" s="220">
        <v>43466</v>
      </c>
      <c r="B1690" s="220">
        <v>43830</v>
      </c>
      <c r="C1690" s="56" t="s">
        <v>5</v>
      </c>
      <c r="D1690" s="56" t="s">
        <v>9</v>
      </c>
      <c r="E1690" s="56">
        <v>2019</v>
      </c>
      <c r="F1690" s="56">
        <v>521.91999999999996</v>
      </c>
      <c r="G1690" t="s">
        <v>232</v>
      </c>
      <c r="H1690">
        <v>679.52</v>
      </c>
    </row>
    <row r="1691" spans="1:8">
      <c r="A1691" s="220">
        <v>43466</v>
      </c>
      <c r="B1691" s="220">
        <v>43830</v>
      </c>
      <c r="C1691" s="56" t="s">
        <v>5</v>
      </c>
      <c r="D1691" s="56" t="s">
        <v>9</v>
      </c>
      <c r="E1691" s="56">
        <v>2019</v>
      </c>
      <c r="F1691" s="56">
        <v>607.80999999999995</v>
      </c>
      <c r="G1691" t="s">
        <v>232</v>
      </c>
      <c r="H1691">
        <v>791.34</v>
      </c>
    </row>
    <row r="1692" spans="1:8">
      <c r="A1692" s="220">
        <v>43831</v>
      </c>
      <c r="B1692" s="220">
        <v>44196</v>
      </c>
      <c r="C1692" s="56" t="s">
        <v>5</v>
      </c>
      <c r="D1692" s="56" t="s">
        <v>9</v>
      </c>
      <c r="E1692" s="56">
        <v>2020</v>
      </c>
      <c r="F1692" s="56">
        <v>79.099999999999994</v>
      </c>
      <c r="G1692" t="s">
        <v>232</v>
      </c>
      <c r="H1692">
        <v>110.07</v>
      </c>
    </row>
    <row r="1693" spans="1:8">
      <c r="A1693" s="220">
        <v>43466</v>
      </c>
      <c r="B1693" s="220">
        <v>43830</v>
      </c>
      <c r="C1693" s="56" t="s">
        <v>5</v>
      </c>
      <c r="D1693" s="56" t="s">
        <v>9</v>
      </c>
      <c r="E1693" s="56">
        <v>2019</v>
      </c>
      <c r="F1693" s="56">
        <v>2998.45</v>
      </c>
      <c r="G1693" t="s">
        <v>232</v>
      </c>
      <c r="H1693">
        <v>3903.84</v>
      </c>
    </row>
    <row r="1694" spans="1:8">
      <c r="A1694" s="220">
        <v>43831</v>
      </c>
      <c r="B1694" s="220">
        <v>44196</v>
      </c>
      <c r="C1694" s="56" t="s">
        <v>5</v>
      </c>
      <c r="D1694" s="56" t="s">
        <v>9</v>
      </c>
      <c r="E1694" s="56">
        <v>2020</v>
      </c>
      <c r="F1694" s="56">
        <v>1655.39</v>
      </c>
      <c r="G1694" t="s">
        <v>232</v>
      </c>
      <c r="H1694">
        <v>2303.52</v>
      </c>
    </row>
    <row r="1695" spans="1:8">
      <c r="A1695" s="220">
        <v>43466</v>
      </c>
      <c r="B1695" s="220">
        <v>43830</v>
      </c>
      <c r="C1695" s="56" t="s">
        <v>5</v>
      </c>
      <c r="D1695" s="56" t="s">
        <v>9</v>
      </c>
      <c r="E1695" s="56">
        <v>2019</v>
      </c>
      <c r="F1695" s="56">
        <v>3190.9</v>
      </c>
      <c r="G1695" t="s">
        <v>232</v>
      </c>
      <c r="H1695">
        <v>4154.3999999999996</v>
      </c>
    </row>
    <row r="1696" spans="1:8">
      <c r="A1696" s="220">
        <v>43831</v>
      </c>
      <c r="B1696" s="220">
        <v>44196</v>
      </c>
      <c r="C1696" s="56" t="s">
        <v>5</v>
      </c>
      <c r="D1696" s="56" t="s">
        <v>9</v>
      </c>
      <c r="E1696" s="56">
        <v>2020</v>
      </c>
      <c r="F1696" s="56">
        <v>165.07</v>
      </c>
      <c r="G1696" t="s">
        <v>232</v>
      </c>
      <c r="H1696">
        <v>229.7</v>
      </c>
    </row>
    <row r="1697" spans="1:8">
      <c r="A1697" s="220">
        <v>43466</v>
      </c>
      <c r="B1697" s="220">
        <v>43830</v>
      </c>
      <c r="C1697" s="56" t="s">
        <v>5</v>
      </c>
      <c r="D1697" s="56" t="s">
        <v>9</v>
      </c>
      <c r="E1697" s="56">
        <v>2019</v>
      </c>
      <c r="F1697" s="56">
        <v>1172.8499999999999</v>
      </c>
      <c r="G1697" t="s">
        <v>232</v>
      </c>
      <c r="H1697">
        <v>1527</v>
      </c>
    </row>
    <row r="1698" spans="1:8">
      <c r="A1698" s="220">
        <v>43831</v>
      </c>
      <c r="B1698" s="220">
        <v>44196</v>
      </c>
      <c r="C1698" s="56" t="s">
        <v>5</v>
      </c>
      <c r="D1698" s="56" t="s">
        <v>9</v>
      </c>
      <c r="E1698" s="56">
        <v>2020</v>
      </c>
      <c r="F1698" s="56">
        <v>862.62</v>
      </c>
      <c r="G1698" t="s">
        <v>232</v>
      </c>
      <c r="H1698">
        <v>1200.3599999999999</v>
      </c>
    </row>
    <row r="1699" spans="1:8">
      <c r="A1699" s="220">
        <v>43831</v>
      </c>
      <c r="B1699" s="220">
        <v>44196</v>
      </c>
      <c r="C1699" s="56" t="s">
        <v>5</v>
      </c>
      <c r="D1699" s="56" t="s">
        <v>9</v>
      </c>
      <c r="E1699" s="56">
        <v>2020</v>
      </c>
      <c r="F1699" s="56">
        <v>1113.92</v>
      </c>
      <c r="G1699" t="s">
        <v>232</v>
      </c>
      <c r="H1699">
        <v>1550.04</v>
      </c>
    </row>
    <row r="1700" spans="1:8">
      <c r="A1700" s="220">
        <v>43831</v>
      </c>
      <c r="B1700" s="220">
        <v>44196</v>
      </c>
      <c r="C1700" s="56" t="s">
        <v>5</v>
      </c>
      <c r="D1700" s="56" t="s">
        <v>9</v>
      </c>
      <c r="E1700" s="56">
        <v>2020</v>
      </c>
      <c r="F1700" s="56">
        <v>968.44</v>
      </c>
      <c r="G1700" t="s">
        <v>232</v>
      </c>
      <c r="H1700">
        <v>1347.6</v>
      </c>
    </row>
    <row r="1701" spans="1:8">
      <c r="A1701" s="220">
        <v>43466</v>
      </c>
      <c r="B1701" s="220">
        <v>43830</v>
      </c>
      <c r="C1701" s="56" t="s">
        <v>5</v>
      </c>
      <c r="D1701" s="56" t="s">
        <v>9</v>
      </c>
      <c r="E1701" s="56">
        <v>2019</v>
      </c>
      <c r="F1701" s="56">
        <v>734.22</v>
      </c>
      <c r="G1701" t="s">
        <v>232</v>
      </c>
      <c r="H1701">
        <v>955.92</v>
      </c>
    </row>
    <row r="1702" spans="1:8">
      <c r="A1702" s="220">
        <v>43466</v>
      </c>
      <c r="B1702" s="220">
        <v>43830</v>
      </c>
      <c r="C1702" s="56" t="s">
        <v>5</v>
      </c>
      <c r="D1702" s="56" t="s">
        <v>9</v>
      </c>
      <c r="E1702" s="56">
        <v>2019</v>
      </c>
      <c r="F1702" s="56">
        <v>734.22</v>
      </c>
      <c r="G1702" t="s">
        <v>232</v>
      </c>
      <c r="H1702">
        <v>955.92</v>
      </c>
    </row>
    <row r="1703" spans="1:8">
      <c r="A1703" s="220">
        <v>43466</v>
      </c>
      <c r="B1703" s="220">
        <v>43830</v>
      </c>
      <c r="C1703" s="56" t="s">
        <v>5</v>
      </c>
      <c r="D1703" s="56" t="s">
        <v>9</v>
      </c>
      <c r="E1703" s="56">
        <v>2019</v>
      </c>
      <c r="F1703" s="56">
        <v>850.08</v>
      </c>
      <c r="G1703" t="s">
        <v>232</v>
      </c>
      <c r="H1703">
        <v>1106.76</v>
      </c>
    </row>
    <row r="1704" spans="1:8">
      <c r="A1704" s="220">
        <v>43466</v>
      </c>
      <c r="B1704" s="220">
        <v>43830</v>
      </c>
      <c r="C1704" s="56" t="s">
        <v>5</v>
      </c>
      <c r="D1704" s="56" t="s">
        <v>9</v>
      </c>
      <c r="E1704" s="56">
        <v>2019</v>
      </c>
      <c r="F1704" s="56">
        <v>2125.19</v>
      </c>
      <c r="G1704" t="s">
        <v>232</v>
      </c>
      <c r="H1704">
        <v>2766.9</v>
      </c>
    </row>
    <row r="1705" spans="1:8">
      <c r="A1705" s="220">
        <v>43831</v>
      </c>
      <c r="B1705" s="220">
        <v>44196</v>
      </c>
      <c r="C1705" s="56" t="s">
        <v>5</v>
      </c>
      <c r="D1705" s="56" t="s">
        <v>9</v>
      </c>
      <c r="E1705" s="56">
        <v>2020</v>
      </c>
      <c r="F1705" s="56">
        <v>2691.15</v>
      </c>
      <c r="G1705" t="s">
        <v>232</v>
      </c>
      <c r="H1705">
        <v>3744.8</v>
      </c>
    </row>
    <row r="1706" spans="1:8">
      <c r="A1706" s="220">
        <v>43466</v>
      </c>
      <c r="B1706" s="220">
        <v>43830</v>
      </c>
      <c r="C1706" s="56" t="s">
        <v>5</v>
      </c>
      <c r="D1706" s="56" t="s">
        <v>9</v>
      </c>
      <c r="E1706" s="56">
        <v>2019</v>
      </c>
      <c r="F1706" s="56">
        <v>2724.7</v>
      </c>
      <c r="G1706" t="s">
        <v>232</v>
      </c>
      <c r="H1706">
        <v>3547.44</v>
      </c>
    </row>
    <row r="1707" spans="1:8">
      <c r="A1707" s="220">
        <v>43466</v>
      </c>
      <c r="B1707" s="220">
        <v>43830</v>
      </c>
      <c r="C1707" s="56" t="s">
        <v>5</v>
      </c>
      <c r="D1707" s="56" t="s">
        <v>9</v>
      </c>
      <c r="E1707" s="56">
        <v>2019</v>
      </c>
      <c r="F1707" s="56">
        <v>908.23</v>
      </c>
      <c r="G1707" t="s">
        <v>232</v>
      </c>
      <c r="H1707">
        <v>1182.48</v>
      </c>
    </row>
    <row r="1708" spans="1:8">
      <c r="A1708" s="220">
        <v>43466</v>
      </c>
      <c r="B1708" s="220">
        <v>43830</v>
      </c>
      <c r="C1708" s="56" t="s">
        <v>5</v>
      </c>
      <c r="D1708" s="56" t="s">
        <v>9</v>
      </c>
      <c r="E1708" s="56">
        <v>2019</v>
      </c>
      <c r="F1708" s="56">
        <v>717.17</v>
      </c>
      <c r="G1708" t="s">
        <v>232</v>
      </c>
      <c r="H1708">
        <v>933.72</v>
      </c>
    </row>
    <row r="1709" spans="1:8">
      <c r="A1709" s="220">
        <v>43831</v>
      </c>
      <c r="B1709" s="220">
        <v>44196</v>
      </c>
      <c r="C1709" s="56" t="s">
        <v>5</v>
      </c>
      <c r="D1709" s="56" t="s">
        <v>9</v>
      </c>
      <c r="E1709" s="56">
        <v>2020</v>
      </c>
      <c r="F1709" s="56">
        <v>508.79</v>
      </c>
      <c r="G1709" t="s">
        <v>232</v>
      </c>
      <c r="H1709">
        <v>708</v>
      </c>
    </row>
    <row r="1710" spans="1:8">
      <c r="A1710" s="220">
        <v>43466</v>
      </c>
      <c r="B1710" s="220">
        <v>43830</v>
      </c>
      <c r="C1710" s="56" t="s">
        <v>5</v>
      </c>
      <c r="D1710" s="56" t="s">
        <v>9</v>
      </c>
      <c r="E1710" s="56">
        <v>2019</v>
      </c>
      <c r="F1710" s="56">
        <v>1514.89</v>
      </c>
      <c r="G1710" t="s">
        <v>232</v>
      </c>
      <c r="H1710">
        <v>1972.32</v>
      </c>
    </row>
    <row r="1711" spans="1:8">
      <c r="A1711" s="220">
        <v>43831</v>
      </c>
      <c r="B1711" s="220">
        <v>44196</v>
      </c>
      <c r="C1711" s="56" t="s">
        <v>5</v>
      </c>
      <c r="D1711" s="56" t="s">
        <v>9</v>
      </c>
      <c r="E1711" s="56">
        <v>2020</v>
      </c>
      <c r="F1711" s="56">
        <v>693.9</v>
      </c>
      <c r="G1711" t="s">
        <v>232</v>
      </c>
      <c r="H1711">
        <v>965.58</v>
      </c>
    </row>
    <row r="1712" spans="1:8">
      <c r="A1712" s="220">
        <v>43831</v>
      </c>
      <c r="B1712" s="220">
        <v>44196</v>
      </c>
      <c r="C1712" s="56" t="s">
        <v>5</v>
      </c>
      <c r="D1712" s="56" t="s">
        <v>9</v>
      </c>
      <c r="E1712" s="56">
        <v>2020</v>
      </c>
      <c r="F1712" s="56">
        <v>949.2</v>
      </c>
      <c r="G1712" t="s">
        <v>232</v>
      </c>
      <c r="H1712">
        <v>1320.84</v>
      </c>
    </row>
    <row r="1713" spans="1:8">
      <c r="A1713" s="220">
        <v>43831</v>
      </c>
      <c r="B1713" s="220">
        <v>44196</v>
      </c>
      <c r="C1713" s="56" t="s">
        <v>5</v>
      </c>
      <c r="D1713" s="56" t="s">
        <v>9</v>
      </c>
      <c r="E1713" s="56">
        <v>2020</v>
      </c>
      <c r="F1713" s="56">
        <v>3450.49</v>
      </c>
      <c r="G1713" t="s">
        <v>232</v>
      </c>
      <c r="H1713">
        <v>4801.4399999999996</v>
      </c>
    </row>
    <row r="1714" spans="1:8">
      <c r="A1714" s="220">
        <v>43466</v>
      </c>
      <c r="B1714" s="220">
        <v>43830</v>
      </c>
      <c r="C1714" s="56" t="s">
        <v>5</v>
      </c>
      <c r="D1714" s="56" t="s">
        <v>9</v>
      </c>
      <c r="E1714" s="56">
        <v>2019</v>
      </c>
      <c r="F1714" s="56">
        <v>4715.71</v>
      </c>
      <c r="G1714" t="s">
        <v>232</v>
      </c>
      <c r="H1714">
        <v>6139.64</v>
      </c>
    </row>
    <row r="1715" spans="1:8">
      <c r="A1715" s="220">
        <v>43466</v>
      </c>
      <c r="B1715" s="220">
        <v>43830</v>
      </c>
      <c r="C1715" s="56" t="s">
        <v>5</v>
      </c>
      <c r="D1715" s="56" t="s">
        <v>9</v>
      </c>
      <c r="E1715" s="56">
        <v>2019</v>
      </c>
      <c r="F1715" s="56">
        <v>3783.6</v>
      </c>
      <c r="G1715" t="s">
        <v>232</v>
      </c>
      <c r="H1715">
        <v>4926.07</v>
      </c>
    </row>
    <row r="1716" spans="1:8">
      <c r="A1716" s="220">
        <v>43831</v>
      </c>
      <c r="B1716" s="220">
        <v>44196</v>
      </c>
      <c r="C1716" s="56" t="s">
        <v>5</v>
      </c>
      <c r="D1716" s="56" t="s">
        <v>9</v>
      </c>
      <c r="E1716" s="56">
        <v>2020</v>
      </c>
      <c r="F1716" s="56">
        <v>357.36</v>
      </c>
      <c r="G1716" t="s">
        <v>232</v>
      </c>
      <c r="H1716">
        <v>497.28</v>
      </c>
    </row>
    <row r="1717" spans="1:8">
      <c r="A1717" s="220">
        <v>43466</v>
      </c>
      <c r="B1717" s="220">
        <v>43830</v>
      </c>
      <c r="C1717" s="56" t="s">
        <v>5</v>
      </c>
      <c r="D1717" s="56" t="s">
        <v>9</v>
      </c>
      <c r="E1717" s="56">
        <v>2019</v>
      </c>
      <c r="F1717" s="56">
        <v>383.42</v>
      </c>
      <c r="G1717" t="s">
        <v>232</v>
      </c>
      <c r="H1717">
        <v>499.2</v>
      </c>
    </row>
    <row r="1718" spans="1:8">
      <c r="A1718" s="220">
        <v>43466</v>
      </c>
      <c r="B1718" s="220">
        <v>43830</v>
      </c>
      <c r="C1718" s="56" t="s">
        <v>5</v>
      </c>
      <c r="D1718" s="56" t="s">
        <v>9</v>
      </c>
      <c r="E1718" s="56">
        <v>2019</v>
      </c>
      <c r="F1718" s="56">
        <v>2251.5100000000002</v>
      </c>
      <c r="G1718" t="s">
        <v>232</v>
      </c>
      <c r="H1718">
        <v>2931.36</v>
      </c>
    </row>
    <row r="1719" spans="1:8">
      <c r="A1719" s="220">
        <v>43466</v>
      </c>
      <c r="B1719" s="220">
        <v>43830</v>
      </c>
      <c r="C1719" s="56" t="s">
        <v>5</v>
      </c>
      <c r="D1719" s="56" t="s">
        <v>9</v>
      </c>
      <c r="E1719" s="56">
        <v>2019</v>
      </c>
      <c r="F1719" s="56">
        <v>617.26</v>
      </c>
      <c r="G1719" t="s">
        <v>232</v>
      </c>
      <c r="H1719">
        <v>803.64</v>
      </c>
    </row>
    <row r="1720" spans="1:8">
      <c r="A1720" s="220">
        <v>43831</v>
      </c>
      <c r="B1720" s="220">
        <v>44196</v>
      </c>
      <c r="C1720" s="56" t="s">
        <v>5</v>
      </c>
      <c r="D1720" s="56" t="s">
        <v>9</v>
      </c>
      <c r="E1720" s="56">
        <v>2020</v>
      </c>
      <c r="F1720" s="56">
        <v>1411.6</v>
      </c>
      <c r="G1720" t="s">
        <v>232</v>
      </c>
      <c r="H1720">
        <v>1964.28</v>
      </c>
    </row>
    <row r="1721" spans="1:8">
      <c r="A1721" s="220">
        <v>43831</v>
      </c>
      <c r="B1721" s="220">
        <v>44196</v>
      </c>
      <c r="C1721" s="56" t="s">
        <v>5</v>
      </c>
      <c r="D1721" s="56" t="s">
        <v>9</v>
      </c>
      <c r="E1721" s="56">
        <v>2020</v>
      </c>
      <c r="F1721" s="56">
        <v>688.17</v>
      </c>
      <c r="G1721" t="s">
        <v>232</v>
      </c>
      <c r="H1721">
        <v>957.6</v>
      </c>
    </row>
    <row r="1722" spans="1:8">
      <c r="A1722" s="220">
        <v>43466</v>
      </c>
      <c r="B1722" s="220">
        <v>43830</v>
      </c>
      <c r="C1722" s="56" t="s">
        <v>5</v>
      </c>
      <c r="D1722" s="56" t="s">
        <v>9</v>
      </c>
      <c r="E1722" s="56">
        <v>2019</v>
      </c>
      <c r="F1722" s="56">
        <v>577.99</v>
      </c>
      <c r="G1722" t="s">
        <v>232</v>
      </c>
      <c r="H1722">
        <v>752.52</v>
      </c>
    </row>
    <row r="1723" spans="1:8">
      <c r="A1723" s="220">
        <v>43466</v>
      </c>
      <c r="B1723" s="220">
        <v>43830</v>
      </c>
      <c r="C1723" s="56" t="s">
        <v>5</v>
      </c>
      <c r="D1723" s="56" t="s">
        <v>9</v>
      </c>
      <c r="E1723" s="56">
        <v>2019</v>
      </c>
      <c r="F1723" s="56">
        <v>1319.25</v>
      </c>
      <c r="G1723" t="s">
        <v>232</v>
      </c>
      <c r="H1723">
        <v>1717.6</v>
      </c>
    </row>
    <row r="1724" spans="1:8">
      <c r="A1724" s="220">
        <v>43831</v>
      </c>
      <c r="B1724" s="220">
        <v>44196</v>
      </c>
      <c r="C1724" s="56" t="s">
        <v>5</v>
      </c>
      <c r="D1724" s="56" t="s">
        <v>9</v>
      </c>
      <c r="E1724" s="56">
        <v>2020</v>
      </c>
      <c r="F1724" s="56">
        <v>807.35</v>
      </c>
      <c r="G1724" t="s">
        <v>232</v>
      </c>
      <c r="H1724">
        <v>1123.44</v>
      </c>
    </row>
    <row r="1725" spans="1:8">
      <c r="A1725" s="220">
        <v>43831</v>
      </c>
      <c r="B1725" s="220">
        <v>44196</v>
      </c>
      <c r="C1725" s="56" t="s">
        <v>5</v>
      </c>
      <c r="D1725" s="56" t="s">
        <v>9</v>
      </c>
      <c r="E1725" s="56">
        <v>2020</v>
      </c>
      <c r="F1725" s="56">
        <v>681.89</v>
      </c>
      <c r="G1725" t="s">
        <v>232</v>
      </c>
      <c r="H1725">
        <v>948.87</v>
      </c>
    </row>
    <row r="1726" spans="1:8">
      <c r="A1726" s="220">
        <v>43466</v>
      </c>
      <c r="B1726" s="220">
        <v>43830</v>
      </c>
      <c r="C1726" s="56" t="s">
        <v>5</v>
      </c>
      <c r="D1726" s="56" t="s">
        <v>9</v>
      </c>
      <c r="E1726" s="56">
        <v>2019</v>
      </c>
      <c r="F1726" s="56">
        <v>482.94</v>
      </c>
      <c r="G1726" t="s">
        <v>232</v>
      </c>
      <c r="H1726">
        <v>628.77</v>
      </c>
    </row>
    <row r="1727" spans="1:8">
      <c r="A1727" s="220">
        <v>43831</v>
      </c>
      <c r="B1727" s="220">
        <v>44196</v>
      </c>
      <c r="C1727" s="56" t="s">
        <v>5</v>
      </c>
      <c r="D1727" s="56" t="s">
        <v>9</v>
      </c>
      <c r="E1727" s="56">
        <v>2020</v>
      </c>
      <c r="F1727" s="56">
        <v>3770.67</v>
      </c>
      <c r="G1727" t="s">
        <v>232</v>
      </c>
      <c r="H1727">
        <v>5246.98</v>
      </c>
    </row>
    <row r="1728" spans="1:8">
      <c r="A1728" s="220">
        <v>43466</v>
      </c>
      <c r="B1728" s="220">
        <v>43830</v>
      </c>
      <c r="C1728" s="56" t="s">
        <v>5</v>
      </c>
      <c r="D1728" s="56" t="s">
        <v>9</v>
      </c>
      <c r="E1728" s="56">
        <v>2019</v>
      </c>
      <c r="F1728" s="56">
        <v>3457.83</v>
      </c>
      <c r="G1728" t="s">
        <v>232</v>
      </c>
      <c r="H1728">
        <v>4501.93</v>
      </c>
    </row>
    <row r="1729" spans="1:8">
      <c r="A1729" s="220">
        <v>43466</v>
      </c>
      <c r="B1729" s="220">
        <v>43830</v>
      </c>
      <c r="C1729" s="56" t="s">
        <v>5</v>
      </c>
      <c r="D1729" s="56" t="s">
        <v>9</v>
      </c>
      <c r="E1729" s="56">
        <v>2019</v>
      </c>
      <c r="F1729" s="56">
        <v>484.63</v>
      </c>
      <c r="G1729" t="s">
        <v>232</v>
      </c>
      <c r="H1729">
        <v>630.96</v>
      </c>
    </row>
    <row r="1730" spans="1:8">
      <c r="A1730" s="220">
        <v>43831</v>
      </c>
      <c r="B1730" s="220">
        <v>44196</v>
      </c>
      <c r="C1730" s="56" t="s">
        <v>5</v>
      </c>
      <c r="D1730" s="56" t="s">
        <v>9</v>
      </c>
      <c r="E1730" s="56">
        <v>2020</v>
      </c>
      <c r="F1730" s="56">
        <v>751.72</v>
      </c>
      <c r="G1730" t="s">
        <v>232</v>
      </c>
      <c r="H1730">
        <v>1046.04</v>
      </c>
    </row>
    <row r="1731" spans="1:8">
      <c r="A1731" s="220">
        <v>43466</v>
      </c>
      <c r="B1731" s="220">
        <v>43830</v>
      </c>
      <c r="C1731" s="56" t="s">
        <v>5</v>
      </c>
      <c r="D1731" s="56" t="s">
        <v>9</v>
      </c>
      <c r="E1731" s="56">
        <v>2019</v>
      </c>
      <c r="F1731" s="56">
        <v>1651.99</v>
      </c>
      <c r="G1731" t="s">
        <v>232</v>
      </c>
      <c r="H1731">
        <v>2150.8200000000002</v>
      </c>
    </row>
    <row r="1732" spans="1:8">
      <c r="A1732" s="220">
        <v>43831</v>
      </c>
      <c r="B1732" s="220">
        <v>44196</v>
      </c>
      <c r="C1732" s="56" t="s">
        <v>5</v>
      </c>
      <c r="D1732" s="56" t="s">
        <v>9</v>
      </c>
      <c r="E1732" s="56">
        <v>2020</v>
      </c>
      <c r="F1732" s="56">
        <v>2288.4299999999998</v>
      </c>
      <c r="G1732" t="s">
        <v>232</v>
      </c>
      <c r="H1732">
        <v>3184.41</v>
      </c>
    </row>
    <row r="1733" spans="1:8">
      <c r="A1733" s="220">
        <v>43466</v>
      </c>
      <c r="B1733" s="220">
        <v>43830</v>
      </c>
      <c r="C1733" s="56" t="s">
        <v>5</v>
      </c>
      <c r="D1733" s="56" t="s">
        <v>9</v>
      </c>
      <c r="E1733" s="56">
        <v>2019</v>
      </c>
      <c r="F1733" s="56">
        <v>383.42</v>
      </c>
      <c r="G1733" t="s">
        <v>232</v>
      </c>
      <c r="H1733">
        <v>499.2</v>
      </c>
    </row>
    <row r="1734" spans="1:8">
      <c r="A1734" s="220">
        <v>43831</v>
      </c>
      <c r="B1734" s="220">
        <v>44196</v>
      </c>
      <c r="C1734" s="56" t="s">
        <v>5</v>
      </c>
      <c r="D1734" s="56" t="s">
        <v>9</v>
      </c>
      <c r="E1734" s="56">
        <v>2020</v>
      </c>
      <c r="F1734" s="56">
        <v>1341.01</v>
      </c>
      <c r="G1734" t="s">
        <v>232</v>
      </c>
      <c r="H1734">
        <v>1866.05</v>
      </c>
    </row>
    <row r="1735" spans="1:8">
      <c r="A1735" s="220">
        <v>43831</v>
      </c>
      <c r="B1735" s="220">
        <v>44196</v>
      </c>
      <c r="C1735" s="56" t="s">
        <v>5</v>
      </c>
      <c r="D1735" s="56" t="s">
        <v>9</v>
      </c>
      <c r="E1735" s="56">
        <v>2020</v>
      </c>
      <c r="F1735" s="56">
        <v>751.72</v>
      </c>
      <c r="G1735" t="s">
        <v>232</v>
      </c>
      <c r="H1735">
        <v>1046.04</v>
      </c>
    </row>
    <row r="1736" spans="1:8">
      <c r="A1736" s="220">
        <v>43466</v>
      </c>
      <c r="B1736" s="220">
        <v>43830</v>
      </c>
      <c r="C1736" s="56" t="s">
        <v>5</v>
      </c>
      <c r="D1736" s="56" t="s">
        <v>9</v>
      </c>
      <c r="E1736" s="56">
        <v>2019</v>
      </c>
      <c r="F1736" s="56">
        <v>383.42</v>
      </c>
      <c r="G1736" t="s">
        <v>232</v>
      </c>
      <c r="H1736">
        <v>499.2</v>
      </c>
    </row>
    <row r="1737" spans="1:8">
      <c r="A1737" s="220">
        <v>43466</v>
      </c>
      <c r="B1737" s="220">
        <v>43830</v>
      </c>
      <c r="C1737" s="56" t="s">
        <v>5</v>
      </c>
      <c r="D1737" s="56" t="s">
        <v>9</v>
      </c>
      <c r="E1737" s="56">
        <v>2019</v>
      </c>
      <c r="F1737" s="56">
        <v>528.28</v>
      </c>
      <c r="G1737" t="s">
        <v>232</v>
      </c>
      <c r="H1737">
        <v>687.8</v>
      </c>
    </row>
    <row r="1738" spans="1:8">
      <c r="A1738" s="220">
        <v>43466</v>
      </c>
      <c r="B1738" s="220">
        <v>43830</v>
      </c>
      <c r="C1738" s="56" t="s">
        <v>5</v>
      </c>
      <c r="D1738" s="56" t="s">
        <v>9</v>
      </c>
      <c r="E1738" s="56">
        <v>2019</v>
      </c>
      <c r="F1738" s="56">
        <v>1345.95</v>
      </c>
      <c r="G1738" t="s">
        <v>232</v>
      </c>
      <c r="H1738">
        <v>1752.37</v>
      </c>
    </row>
    <row r="1739" spans="1:8">
      <c r="A1739" s="220">
        <v>43831</v>
      </c>
      <c r="B1739" s="220">
        <v>44196</v>
      </c>
      <c r="C1739" s="56" t="s">
        <v>5</v>
      </c>
      <c r="D1739" s="56" t="s">
        <v>9</v>
      </c>
      <c r="E1739" s="56">
        <v>2020</v>
      </c>
      <c r="F1739" s="56">
        <v>977.92</v>
      </c>
      <c r="G1739" t="s">
        <v>232</v>
      </c>
      <c r="H1739">
        <v>1360.8</v>
      </c>
    </row>
    <row r="1740" spans="1:8">
      <c r="A1740" s="220">
        <v>43831</v>
      </c>
      <c r="B1740" s="220">
        <v>44196</v>
      </c>
      <c r="C1740" s="56" t="s">
        <v>5</v>
      </c>
      <c r="D1740" s="56" t="s">
        <v>9</v>
      </c>
      <c r="E1740" s="56">
        <v>2020</v>
      </c>
      <c r="F1740" s="56">
        <v>1836.33</v>
      </c>
      <c r="G1740" t="s">
        <v>232</v>
      </c>
      <c r="H1740">
        <v>2555.3000000000002</v>
      </c>
    </row>
    <row r="1741" spans="1:8">
      <c r="A1741" s="220">
        <v>43466</v>
      </c>
      <c r="B1741" s="220">
        <v>43830</v>
      </c>
      <c r="C1741" s="56" t="s">
        <v>5</v>
      </c>
      <c r="D1741" s="56" t="s">
        <v>9</v>
      </c>
      <c r="E1741" s="56">
        <v>2019</v>
      </c>
      <c r="F1741" s="56">
        <v>535.69000000000005</v>
      </c>
      <c r="G1741" t="s">
        <v>232</v>
      </c>
      <c r="H1741">
        <v>697.44</v>
      </c>
    </row>
    <row r="1742" spans="1:8">
      <c r="A1742" s="220">
        <v>43831</v>
      </c>
      <c r="B1742" s="220">
        <v>44196</v>
      </c>
      <c r="C1742" s="56" t="s">
        <v>5</v>
      </c>
      <c r="D1742" s="56" t="s">
        <v>9</v>
      </c>
      <c r="E1742" s="56">
        <v>2020</v>
      </c>
      <c r="F1742" s="56">
        <v>1224.44</v>
      </c>
      <c r="G1742" t="s">
        <v>232</v>
      </c>
      <c r="H1742">
        <v>1703.84</v>
      </c>
    </row>
    <row r="1743" spans="1:8">
      <c r="A1743" s="220">
        <v>43831</v>
      </c>
      <c r="B1743" s="220">
        <v>44196</v>
      </c>
      <c r="C1743" s="56" t="s">
        <v>5</v>
      </c>
      <c r="D1743" s="56" t="s">
        <v>9</v>
      </c>
      <c r="E1743" s="56">
        <v>2020</v>
      </c>
      <c r="F1743" s="56">
        <v>653.33000000000004</v>
      </c>
      <c r="G1743" t="s">
        <v>232</v>
      </c>
      <c r="H1743">
        <v>909.12</v>
      </c>
    </row>
    <row r="1744" spans="1:8">
      <c r="A1744" s="220">
        <v>43831</v>
      </c>
      <c r="B1744" s="220">
        <v>44196</v>
      </c>
      <c r="C1744" s="56" t="s">
        <v>5</v>
      </c>
      <c r="D1744" s="56" t="s">
        <v>9</v>
      </c>
      <c r="E1744" s="56">
        <v>2020</v>
      </c>
      <c r="F1744" s="56">
        <v>1231.8900000000001</v>
      </c>
      <c r="G1744" t="s">
        <v>232</v>
      </c>
      <c r="H1744">
        <v>1714.21</v>
      </c>
    </row>
    <row r="1745" spans="1:8">
      <c r="A1745" s="220">
        <v>43831</v>
      </c>
      <c r="B1745" s="220">
        <v>44196</v>
      </c>
      <c r="C1745" s="56" t="s">
        <v>5</v>
      </c>
      <c r="D1745" s="56" t="s">
        <v>9</v>
      </c>
      <c r="E1745" s="56">
        <v>2020</v>
      </c>
      <c r="F1745" s="56">
        <v>2789.58</v>
      </c>
      <c r="G1745" t="s">
        <v>232</v>
      </c>
      <c r="H1745">
        <v>3881.76</v>
      </c>
    </row>
    <row r="1746" spans="1:8">
      <c r="A1746" s="220">
        <v>43466</v>
      </c>
      <c r="B1746" s="220">
        <v>43830</v>
      </c>
      <c r="C1746" s="56" t="s">
        <v>5</v>
      </c>
      <c r="D1746" s="56" t="s">
        <v>9</v>
      </c>
      <c r="E1746" s="56">
        <v>2019</v>
      </c>
      <c r="F1746" s="56">
        <v>724.63</v>
      </c>
      <c r="G1746" t="s">
        <v>232</v>
      </c>
      <c r="H1746">
        <v>943.44</v>
      </c>
    </row>
    <row r="1747" spans="1:8">
      <c r="A1747" s="220">
        <v>43831</v>
      </c>
      <c r="B1747" s="220">
        <v>44196</v>
      </c>
      <c r="C1747" s="56" t="s">
        <v>5</v>
      </c>
      <c r="D1747" s="56" t="s">
        <v>9</v>
      </c>
      <c r="E1747" s="56">
        <v>2020</v>
      </c>
      <c r="F1747" s="56">
        <v>4097.18</v>
      </c>
      <c r="G1747" t="s">
        <v>232</v>
      </c>
      <c r="H1747">
        <v>5701.32</v>
      </c>
    </row>
    <row r="1748" spans="1:8">
      <c r="A1748" s="220">
        <v>43466</v>
      </c>
      <c r="B1748" s="220">
        <v>43830</v>
      </c>
      <c r="C1748" s="56" t="s">
        <v>5</v>
      </c>
      <c r="D1748" s="56" t="s">
        <v>9</v>
      </c>
      <c r="E1748" s="56">
        <v>2019</v>
      </c>
      <c r="F1748" s="56">
        <v>3003.72</v>
      </c>
      <c r="G1748" t="s">
        <v>232</v>
      </c>
      <c r="H1748">
        <v>3910.71</v>
      </c>
    </row>
    <row r="1749" spans="1:8">
      <c r="A1749" s="220">
        <v>43831</v>
      </c>
      <c r="B1749" s="220">
        <v>44196</v>
      </c>
      <c r="C1749" s="56" t="s">
        <v>5</v>
      </c>
      <c r="D1749" s="56" t="s">
        <v>9</v>
      </c>
      <c r="E1749" s="56">
        <v>2020</v>
      </c>
      <c r="F1749" s="56">
        <v>977.92</v>
      </c>
      <c r="G1749" t="s">
        <v>232</v>
      </c>
      <c r="H1749">
        <v>1360.8</v>
      </c>
    </row>
    <row r="1750" spans="1:8">
      <c r="A1750" s="220">
        <v>43466</v>
      </c>
      <c r="B1750" s="220">
        <v>43830</v>
      </c>
      <c r="C1750" s="56" t="s">
        <v>5</v>
      </c>
      <c r="D1750" s="56" t="s">
        <v>9</v>
      </c>
      <c r="E1750" s="56">
        <v>2019</v>
      </c>
      <c r="F1750" s="56">
        <v>640.71</v>
      </c>
      <c r="G1750" t="s">
        <v>232</v>
      </c>
      <c r="H1750">
        <v>834.17</v>
      </c>
    </row>
    <row r="1751" spans="1:8">
      <c r="A1751" s="220">
        <v>43466</v>
      </c>
      <c r="B1751" s="220">
        <v>43830</v>
      </c>
      <c r="C1751" s="56" t="s">
        <v>5</v>
      </c>
      <c r="D1751" s="56" t="s">
        <v>9</v>
      </c>
      <c r="E1751" s="56">
        <v>2019</v>
      </c>
      <c r="F1751" s="56">
        <v>1998.17</v>
      </c>
      <c r="G1751" t="s">
        <v>232</v>
      </c>
      <c r="H1751">
        <v>2601.52</v>
      </c>
    </row>
    <row r="1752" spans="1:8">
      <c r="A1752" s="220">
        <v>43831</v>
      </c>
      <c r="B1752" s="220">
        <v>44196</v>
      </c>
      <c r="C1752" s="56" t="s">
        <v>5</v>
      </c>
      <c r="D1752" s="56" t="s">
        <v>9</v>
      </c>
      <c r="E1752" s="56">
        <v>2020</v>
      </c>
      <c r="F1752" s="56">
        <v>1026.6300000000001</v>
      </c>
      <c r="G1752" t="s">
        <v>232</v>
      </c>
      <c r="H1752">
        <v>1428.58</v>
      </c>
    </row>
    <row r="1753" spans="1:8">
      <c r="A1753" s="220">
        <v>43466</v>
      </c>
      <c r="B1753" s="220">
        <v>43830</v>
      </c>
      <c r="C1753" s="56" t="s">
        <v>5</v>
      </c>
      <c r="D1753" s="56" t="s">
        <v>9</v>
      </c>
      <c r="E1753" s="56">
        <v>2019</v>
      </c>
      <c r="F1753" s="56">
        <v>908.23</v>
      </c>
      <c r="G1753" t="s">
        <v>232</v>
      </c>
      <c r="H1753">
        <v>1182.48</v>
      </c>
    </row>
    <row r="1754" spans="1:8">
      <c r="A1754" s="220">
        <v>43466</v>
      </c>
      <c r="B1754" s="220">
        <v>43830</v>
      </c>
      <c r="C1754" s="56" t="s">
        <v>5</v>
      </c>
      <c r="D1754" s="56" t="s">
        <v>9</v>
      </c>
      <c r="E1754" s="56">
        <v>2019</v>
      </c>
      <c r="F1754" s="56">
        <v>506.92</v>
      </c>
      <c r="G1754" t="s">
        <v>232</v>
      </c>
      <c r="H1754">
        <v>659.99</v>
      </c>
    </row>
    <row r="1755" spans="1:8">
      <c r="A1755" s="220">
        <v>43466</v>
      </c>
      <c r="B1755" s="220">
        <v>43830</v>
      </c>
      <c r="C1755" s="56" t="s">
        <v>5</v>
      </c>
      <c r="D1755" s="56" t="s">
        <v>9</v>
      </c>
      <c r="E1755" s="56">
        <v>2019</v>
      </c>
      <c r="F1755" s="56">
        <v>797.72</v>
      </c>
      <c r="G1755" t="s">
        <v>232</v>
      </c>
      <c r="H1755">
        <v>1038.5999999999999</v>
      </c>
    </row>
    <row r="1756" spans="1:8">
      <c r="A1756" s="220">
        <v>43831</v>
      </c>
      <c r="B1756" s="220">
        <v>44196</v>
      </c>
      <c r="C1756" s="56" t="s">
        <v>5</v>
      </c>
      <c r="D1756" s="56" t="s">
        <v>9</v>
      </c>
      <c r="E1756" s="56">
        <v>2020</v>
      </c>
      <c r="F1756" s="56">
        <v>757.67</v>
      </c>
      <c r="G1756" t="s">
        <v>232</v>
      </c>
      <c r="H1756">
        <v>1054.32</v>
      </c>
    </row>
    <row r="1757" spans="1:8">
      <c r="A1757" s="220">
        <v>43466</v>
      </c>
      <c r="B1757" s="220">
        <v>43830</v>
      </c>
      <c r="C1757" s="56" t="s">
        <v>5</v>
      </c>
      <c r="D1757" s="56" t="s">
        <v>9</v>
      </c>
      <c r="E1757" s="56">
        <v>2019</v>
      </c>
      <c r="F1757" s="56">
        <v>1375.72</v>
      </c>
      <c r="G1757" t="s">
        <v>232</v>
      </c>
      <c r="H1757">
        <v>1791.12</v>
      </c>
    </row>
    <row r="1758" spans="1:8">
      <c r="A1758" s="220">
        <v>43466</v>
      </c>
      <c r="B1758" s="220">
        <v>43830</v>
      </c>
      <c r="C1758" s="56" t="s">
        <v>5</v>
      </c>
      <c r="D1758" s="56" t="s">
        <v>9</v>
      </c>
      <c r="E1758" s="56">
        <v>2019</v>
      </c>
      <c r="F1758" s="56">
        <v>666.75</v>
      </c>
      <c r="G1758" t="s">
        <v>232</v>
      </c>
      <c r="H1758">
        <v>868.08</v>
      </c>
    </row>
    <row r="1759" spans="1:8">
      <c r="A1759" s="220">
        <v>43831</v>
      </c>
      <c r="B1759" s="220">
        <v>44196</v>
      </c>
      <c r="C1759" s="56" t="s">
        <v>5</v>
      </c>
      <c r="D1759" s="56" t="s">
        <v>9</v>
      </c>
      <c r="E1759" s="56">
        <v>2020</v>
      </c>
      <c r="F1759" s="56">
        <v>563.79</v>
      </c>
      <c r="G1759" t="s">
        <v>232</v>
      </c>
      <c r="H1759">
        <v>784.53</v>
      </c>
    </row>
    <row r="1760" spans="1:8">
      <c r="A1760" s="220">
        <v>43831</v>
      </c>
      <c r="B1760" s="220">
        <v>44196</v>
      </c>
      <c r="C1760" s="56" t="s">
        <v>5</v>
      </c>
      <c r="D1760" s="56" t="s">
        <v>9</v>
      </c>
      <c r="E1760" s="56">
        <v>2020</v>
      </c>
      <c r="F1760" s="56">
        <v>1271.99</v>
      </c>
      <c r="G1760" t="s">
        <v>232</v>
      </c>
      <c r="H1760">
        <v>1770</v>
      </c>
    </row>
    <row r="1761" spans="1:8">
      <c r="A1761" s="220">
        <v>43466</v>
      </c>
      <c r="B1761" s="220">
        <v>43830</v>
      </c>
      <c r="C1761" s="56" t="s">
        <v>5</v>
      </c>
      <c r="D1761" s="56" t="s">
        <v>9</v>
      </c>
      <c r="E1761" s="56">
        <v>2019</v>
      </c>
      <c r="F1761" s="56">
        <v>1172.8499999999999</v>
      </c>
      <c r="G1761" t="s">
        <v>232</v>
      </c>
      <c r="H1761">
        <v>1527</v>
      </c>
    </row>
    <row r="1762" spans="1:8">
      <c r="A1762" s="220">
        <v>43466</v>
      </c>
      <c r="B1762" s="220">
        <v>43830</v>
      </c>
      <c r="C1762" s="56" t="s">
        <v>5</v>
      </c>
      <c r="D1762" s="56" t="s">
        <v>9</v>
      </c>
      <c r="E1762" s="56">
        <v>2019</v>
      </c>
      <c r="F1762" s="56">
        <v>497.07</v>
      </c>
      <c r="G1762" t="s">
        <v>232</v>
      </c>
      <c r="H1762">
        <v>647.16</v>
      </c>
    </row>
    <row r="1763" spans="1:8">
      <c r="A1763" s="220">
        <v>43831</v>
      </c>
      <c r="B1763" s="220">
        <v>44196</v>
      </c>
      <c r="C1763" s="56" t="s">
        <v>5</v>
      </c>
      <c r="D1763" s="56" t="s">
        <v>9</v>
      </c>
      <c r="E1763" s="56">
        <v>2020</v>
      </c>
      <c r="F1763" s="56">
        <v>3100.22</v>
      </c>
      <c r="G1763" t="s">
        <v>232</v>
      </c>
      <c r="H1763">
        <v>4314.03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6">
    <tabColor theme="9" tint="0.79998168889431442"/>
    <pageSetUpPr fitToPage="1"/>
  </sheetPr>
  <dimension ref="A1:R112"/>
  <sheetViews>
    <sheetView zoomScale="85" zoomScaleNormal="85" workbookViewId="0">
      <pane ySplit="1" topLeftCell="A83" activePane="bottomLeft" state="frozen"/>
      <selection activeCell="B1" sqref="B1"/>
      <selection pane="bottomLeft" sqref="A1:A1048576"/>
    </sheetView>
  </sheetViews>
  <sheetFormatPr baseColWidth="10" defaultColWidth="11.42578125" defaultRowHeight="15"/>
  <cols>
    <col min="1" max="1" width="10.85546875" style="220" bestFit="1" customWidth="1"/>
    <col min="2" max="2" width="17.5703125" style="56" bestFit="1" customWidth="1"/>
    <col min="3" max="3" width="18.5703125" style="56" bestFit="1" customWidth="1"/>
    <col min="4" max="4" width="11.5703125" style="56" bestFit="1" customWidth="1"/>
    <col min="5" max="6" width="31.85546875" style="56" bestFit="1" customWidth="1"/>
    <col min="7" max="7" width="17.7109375" style="56" bestFit="1" customWidth="1"/>
    <col min="8" max="8" width="10.140625" style="56" bestFit="1" customWidth="1"/>
    <col min="9" max="9" width="11.28515625" style="56" bestFit="1" customWidth="1"/>
    <col min="10" max="10" width="9.7109375" style="56" bestFit="1" customWidth="1"/>
    <col min="11" max="11" width="13.28515625" style="56" bestFit="1" customWidth="1"/>
    <col min="12" max="12" width="11.28515625" style="56" bestFit="1" customWidth="1"/>
    <col min="13" max="13" width="7.85546875" style="56" bestFit="1" customWidth="1"/>
    <col min="14" max="14" width="7" style="56" bestFit="1" customWidth="1"/>
    <col min="15" max="15" width="7.7109375" style="56" bestFit="1" customWidth="1"/>
    <col min="16" max="16" width="9.85546875" style="56" bestFit="1" customWidth="1"/>
    <col min="17" max="17" width="10.28515625" style="56" bestFit="1" customWidth="1"/>
    <col min="18" max="18" width="21.5703125" style="56" bestFit="1" customWidth="1"/>
    <col min="19" max="22" width="11.42578125" style="56" customWidth="1"/>
    <col min="23" max="23" width="33.42578125" style="56" bestFit="1" customWidth="1"/>
    <col min="24" max="27" width="11.42578125" style="56" customWidth="1"/>
    <col min="28" max="16384" width="11.42578125" style="56"/>
  </cols>
  <sheetData>
    <row r="1" spans="1:18">
      <c r="A1" s="220" t="s">
        <v>178</v>
      </c>
      <c r="B1" s="56" t="s">
        <v>174</v>
      </c>
      <c r="C1" s="56" t="s">
        <v>175</v>
      </c>
      <c r="D1" s="56" t="s">
        <v>179</v>
      </c>
      <c r="E1" s="56" t="s">
        <v>180</v>
      </c>
      <c r="F1" s="56" t="s">
        <v>181</v>
      </c>
      <c r="G1" s="56" t="s">
        <v>182</v>
      </c>
      <c r="H1" s="56" t="s">
        <v>183</v>
      </c>
      <c r="I1" s="56" t="s">
        <v>184</v>
      </c>
      <c r="J1" s="56" t="s">
        <v>185</v>
      </c>
      <c r="K1" s="56" t="s">
        <v>186</v>
      </c>
      <c r="L1" s="56" t="s">
        <v>187</v>
      </c>
      <c r="M1" s="56" t="s">
        <v>188</v>
      </c>
      <c r="N1" s="56" t="s">
        <v>189</v>
      </c>
      <c r="O1" s="56" t="s">
        <v>190</v>
      </c>
      <c r="P1" s="56" t="s">
        <v>191</v>
      </c>
      <c r="Q1" s="56" t="s">
        <v>192</v>
      </c>
      <c r="R1" s="56" t="s">
        <v>171</v>
      </c>
    </row>
    <row r="2" spans="1:18">
      <c r="A2" s="220">
        <v>44196</v>
      </c>
      <c r="B2" s="56" t="s">
        <v>5</v>
      </c>
      <c r="C2" s="56" t="s">
        <v>9</v>
      </c>
      <c r="D2" s="56">
        <v>2019</v>
      </c>
      <c r="E2" s="56" t="s">
        <v>73</v>
      </c>
      <c r="F2" s="56" t="s">
        <v>72</v>
      </c>
      <c r="G2" s="56" t="s">
        <v>193</v>
      </c>
      <c r="H2" s="56">
        <v>818</v>
      </c>
      <c r="I2" s="56">
        <v>17023.049999999901</v>
      </c>
      <c r="J2" s="56">
        <v>11930.03</v>
      </c>
      <c r="K2" s="56">
        <v>13.02</v>
      </c>
      <c r="L2" s="56">
        <v>5058.7600000000202</v>
      </c>
      <c r="M2" s="56" t="s">
        <v>194</v>
      </c>
      <c r="N2" s="56">
        <v>14.46</v>
      </c>
      <c r="O2" s="56">
        <v>90</v>
      </c>
      <c r="P2" s="56">
        <v>1.45</v>
      </c>
      <c r="Q2" s="56">
        <v>28.92</v>
      </c>
      <c r="R2" s="56" t="s">
        <v>232</v>
      </c>
    </row>
    <row r="3" spans="1:18">
      <c r="A3" s="220">
        <v>44196</v>
      </c>
      <c r="B3" s="56" t="s">
        <v>5</v>
      </c>
      <c r="C3" s="56" t="s">
        <v>9</v>
      </c>
      <c r="D3" s="56">
        <v>2019</v>
      </c>
      <c r="E3" s="56" t="s">
        <v>74</v>
      </c>
      <c r="F3" s="56" t="s">
        <v>72</v>
      </c>
      <c r="G3" s="56" t="s">
        <v>193</v>
      </c>
      <c r="H3" s="56">
        <v>272</v>
      </c>
      <c r="I3" s="56">
        <v>24613.360000000001</v>
      </c>
      <c r="J3" s="56">
        <v>16087.74</v>
      </c>
      <c r="K3" s="56">
        <v>21004.32</v>
      </c>
      <c r="L3" s="56">
        <v>-21360.81</v>
      </c>
      <c r="M3" s="56" t="s">
        <v>194</v>
      </c>
      <c r="N3" s="56">
        <v>0.51</v>
      </c>
      <c r="O3" s="56">
        <v>1798.55</v>
      </c>
      <c r="P3" s="56">
        <v>0.366363636363636</v>
      </c>
      <c r="Q3" s="56">
        <v>240.08</v>
      </c>
      <c r="R3" s="56" t="s">
        <v>232</v>
      </c>
    </row>
    <row r="4" spans="1:18">
      <c r="A4" s="220">
        <v>44196</v>
      </c>
      <c r="B4" s="56" t="s">
        <v>5</v>
      </c>
      <c r="C4" s="56" t="s">
        <v>9</v>
      </c>
      <c r="D4" s="56">
        <v>2019</v>
      </c>
      <c r="E4" s="56" t="s">
        <v>75</v>
      </c>
      <c r="F4" s="56" t="s">
        <v>72</v>
      </c>
      <c r="G4" s="56" t="s">
        <v>193</v>
      </c>
      <c r="H4" s="56">
        <v>2380</v>
      </c>
      <c r="I4" s="56">
        <v>85276.979999999807</v>
      </c>
      <c r="J4" s="56">
        <v>41270.019999999997</v>
      </c>
      <c r="K4" s="56">
        <v>1316.61</v>
      </c>
      <c r="L4" s="56">
        <v>33088.700000000099</v>
      </c>
      <c r="M4" s="56" t="s">
        <v>194</v>
      </c>
      <c r="N4" s="56">
        <v>0.73</v>
      </c>
      <c r="O4" s="56">
        <v>630.02</v>
      </c>
      <c r="P4" s="56">
        <v>0.28999999999999998</v>
      </c>
      <c r="Q4" s="56">
        <v>348</v>
      </c>
      <c r="R4" s="56" t="s">
        <v>232</v>
      </c>
    </row>
    <row r="5" spans="1:18">
      <c r="A5" s="220">
        <v>44196</v>
      </c>
      <c r="B5" s="56" t="s">
        <v>5</v>
      </c>
      <c r="C5" s="56" t="s">
        <v>9</v>
      </c>
      <c r="D5" s="56">
        <v>2019</v>
      </c>
      <c r="E5" s="56" t="s">
        <v>76</v>
      </c>
      <c r="F5" s="56" t="s">
        <v>72</v>
      </c>
      <c r="G5" s="56" t="s">
        <v>193</v>
      </c>
      <c r="H5" s="56">
        <v>2</v>
      </c>
      <c r="I5" s="56">
        <v>47</v>
      </c>
      <c r="J5" s="56">
        <v>16.100000000000001</v>
      </c>
      <c r="K5" s="56">
        <v>0</v>
      </c>
      <c r="L5" s="56">
        <v>30.9</v>
      </c>
      <c r="M5" s="56" t="s">
        <v>194</v>
      </c>
      <c r="N5" s="56">
        <v>23</v>
      </c>
      <c r="O5" s="56">
        <v>24</v>
      </c>
      <c r="P5" s="56">
        <v>6.9</v>
      </c>
      <c r="Q5" s="56">
        <v>24</v>
      </c>
      <c r="R5" s="56" t="s">
        <v>232</v>
      </c>
    </row>
    <row r="6" spans="1:18">
      <c r="A6" s="220">
        <v>44196</v>
      </c>
      <c r="B6" s="56" t="s">
        <v>5</v>
      </c>
      <c r="C6" s="56" t="s">
        <v>9</v>
      </c>
      <c r="D6" s="56">
        <v>2019</v>
      </c>
      <c r="E6" s="56" t="s">
        <v>77</v>
      </c>
      <c r="F6" s="56" t="s">
        <v>72</v>
      </c>
      <c r="G6" s="56" t="s">
        <v>193</v>
      </c>
      <c r="H6" s="56">
        <v>799</v>
      </c>
      <c r="I6" s="56">
        <v>41066.199999999997</v>
      </c>
      <c r="J6" s="56">
        <v>0</v>
      </c>
      <c r="K6" s="56">
        <v>1297</v>
      </c>
      <c r="L6" s="56">
        <v>36719.199999999997</v>
      </c>
      <c r="M6" s="56" t="s">
        <v>194</v>
      </c>
      <c r="N6" s="56">
        <v>12.7</v>
      </c>
      <c r="O6" s="56">
        <v>165</v>
      </c>
      <c r="P6" s="56">
        <v>1.85</v>
      </c>
      <c r="Q6" s="56">
        <v>95</v>
      </c>
      <c r="R6" s="56" t="s">
        <v>232</v>
      </c>
    </row>
    <row r="7" spans="1:18">
      <c r="A7" s="220">
        <v>44196</v>
      </c>
      <c r="B7" s="56" t="s">
        <v>5</v>
      </c>
      <c r="C7" s="56" t="s">
        <v>9</v>
      </c>
      <c r="D7" s="56">
        <v>2019</v>
      </c>
      <c r="E7" s="56" t="s">
        <v>78</v>
      </c>
      <c r="F7" s="56" t="s">
        <v>72</v>
      </c>
      <c r="G7" s="56" t="s">
        <v>193</v>
      </c>
      <c r="H7" s="56">
        <v>15</v>
      </c>
      <c r="I7" s="56">
        <v>19604.900000000001</v>
      </c>
      <c r="J7" s="56">
        <v>3840.9</v>
      </c>
      <c r="K7" s="56">
        <v>3600</v>
      </c>
      <c r="L7" s="56">
        <v>7703</v>
      </c>
      <c r="M7" s="56" t="s">
        <v>194</v>
      </c>
      <c r="N7" s="56">
        <v>39.9</v>
      </c>
      <c r="O7" s="56">
        <v>1990</v>
      </c>
      <c r="P7" s="56">
        <v>3</v>
      </c>
      <c r="Q7" s="56">
        <v>1150</v>
      </c>
      <c r="R7" s="56" t="s">
        <v>232</v>
      </c>
    </row>
    <row r="8" spans="1:18">
      <c r="A8" s="220">
        <v>44196</v>
      </c>
      <c r="B8" s="56" t="s">
        <v>5</v>
      </c>
      <c r="C8" s="56" t="s">
        <v>9</v>
      </c>
      <c r="D8" s="56">
        <v>2019</v>
      </c>
      <c r="E8" s="56" t="s">
        <v>80</v>
      </c>
      <c r="F8" s="56" t="s">
        <v>79</v>
      </c>
      <c r="G8" s="56" t="s">
        <v>193</v>
      </c>
      <c r="H8" s="56">
        <v>17</v>
      </c>
      <c r="I8" s="56">
        <v>5461.23</v>
      </c>
      <c r="J8" s="56">
        <v>3666.1</v>
      </c>
      <c r="K8" s="56">
        <v>377.7</v>
      </c>
      <c r="L8" s="56">
        <v>1054.83</v>
      </c>
      <c r="M8" s="56" t="s">
        <v>194</v>
      </c>
      <c r="N8" s="56">
        <v>27</v>
      </c>
      <c r="O8" s="56">
        <v>1341.57</v>
      </c>
      <c r="P8" s="56">
        <v>14.3</v>
      </c>
      <c r="Q8" s="56">
        <v>196.54</v>
      </c>
      <c r="R8" s="56" t="s">
        <v>232</v>
      </c>
    </row>
    <row r="9" spans="1:18">
      <c r="A9" s="220">
        <v>44196</v>
      </c>
      <c r="B9" s="56" t="s">
        <v>5</v>
      </c>
      <c r="C9" s="56" t="s">
        <v>9</v>
      </c>
      <c r="D9" s="56">
        <v>2019</v>
      </c>
      <c r="E9" s="56" t="s">
        <v>82</v>
      </c>
      <c r="F9" s="56" t="s">
        <v>81</v>
      </c>
      <c r="G9" s="56" t="s">
        <v>193</v>
      </c>
      <c r="H9" s="56">
        <v>84</v>
      </c>
      <c r="I9" s="56">
        <v>3733.18</v>
      </c>
      <c r="J9" s="56">
        <v>2585.7399999999998</v>
      </c>
      <c r="K9" s="56">
        <v>0</v>
      </c>
      <c r="L9" s="56">
        <v>1097.44</v>
      </c>
      <c r="M9" s="56" t="s">
        <v>194</v>
      </c>
      <c r="N9" s="56">
        <v>23</v>
      </c>
      <c r="O9" s="56">
        <v>100</v>
      </c>
      <c r="P9" s="56">
        <v>4.82</v>
      </c>
      <c r="Q9" s="56">
        <v>50</v>
      </c>
      <c r="R9" s="56" t="s">
        <v>232</v>
      </c>
    </row>
    <row r="10" spans="1:18">
      <c r="A10" s="220">
        <v>44196</v>
      </c>
      <c r="B10" s="56" t="s">
        <v>5</v>
      </c>
      <c r="C10" s="56" t="s">
        <v>9</v>
      </c>
      <c r="D10" s="56">
        <v>2019</v>
      </c>
      <c r="E10" s="56" t="s">
        <v>139</v>
      </c>
      <c r="F10" s="56" t="s">
        <v>81</v>
      </c>
      <c r="G10" s="56" t="s">
        <v>193</v>
      </c>
      <c r="H10" s="56">
        <v>1</v>
      </c>
      <c r="I10" s="56">
        <v>920</v>
      </c>
      <c r="J10" s="56">
        <v>195.65</v>
      </c>
      <c r="K10" s="56">
        <v>0</v>
      </c>
      <c r="L10" s="56">
        <v>559</v>
      </c>
      <c r="M10" s="56" t="s">
        <v>194</v>
      </c>
      <c r="N10" s="56">
        <v>920</v>
      </c>
      <c r="O10" s="56">
        <v>920</v>
      </c>
      <c r="P10" s="56">
        <v>559</v>
      </c>
      <c r="Q10" s="56">
        <v>559</v>
      </c>
      <c r="R10" s="56" t="s">
        <v>232</v>
      </c>
    </row>
    <row r="11" spans="1:18">
      <c r="A11" s="220">
        <v>44196</v>
      </c>
      <c r="B11" s="56" t="s">
        <v>5</v>
      </c>
      <c r="C11" s="56" t="s">
        <v>9</v>
      </c>
      <c r="D11" s="56">
        <v>2019</v>
      </c>
      <c r="E11" s="56" t="s">
        <v>83</v>
      </c>
      <c r="F11" s="56" t="s">
        <v>81</v>
      </c>
      <c r="G11" s="56" t="s">
        <v>193</v>
      </c>
      <c r="H11" s="56">
        <v>24</v>
      </c>
      <c r="I11" s="56">
        <v>1200</v>
      </c>
      <c r="J11" s="56">
        <v>140</v>
      </c>
      <c r="K11" s="56">
        <v>291</v>
      </c>
      <c r="L11" s="56">
        <v>400</v>
      </c>
      <c r="M11" s="56" t="s">
        <v>194</v>
      </c>
      <c r="N11" s="56">
        <v>60</v>
      </c>
      <c r="O11" s="56">
        <v>60</v>
      </c>
      <c r="P11" s="56">
        <v>20</v>
      </c>
      <c r="Q11" s="56">
        <v>20</v>
      </c>
      <c r="R11" s="56" t="s">
        <v>232</v>
      </c>
    </row>
    <row r="12" spans="1:18">
      <c r="A12" s="220">
        <v>44196</v>
      </c>
      <c r="B12" s="56" t="s">
        <v>5</v>
      </c>
      <c r="C12" s="56" t="s">
        <v>9</v>
      </c>
      <c r="D12" s="56">
        <v>2019</v>
      </c>
      <c r="E12" s="56" t="s">
        <v>84</v>
      </c>
      <c r="F12" s="56" t="s">
        <v>81</v>
      </c>
      <c r="G12" s="56" t="s">
        <v>193</v>
      </c>
      <c r="H12" s="56">
        <v>40</v>
      </c>
      <c r="I12" s="56">
        <v>2515</v>
      </c>
      <c r="J12" s="56">
        <v>246</v>
      </c>
      <c r="K12" s="56">
        <v>196</v>
      </c>
      <c r="L12" s="56">
        <v>716</v>
      </c>
      <c r="M12" s="56" t="s">
        <v>194</v>
      </c>
      <c r="N12" s="56">
        <v>50</v>
      </c>
      <c r="O12" s="56">
        <v>200</v>
      </c>
      <c r="P12" s="56">
        <v>18</v>
      </c>
      <c r="Q12" s="56">
        <v>40</v>
      </c>
      <c r="R12" s="56" t="s">
        <v>232</v>
      </c>
    </row>
    <row r="13" spans="1:18">
      <c r="A13" s="220">
        <v>44196</v>
      </c>
      <c r="B13" s="56" t="s">
        <v>5</v>
      </c>
      <c r="C13" s="56" t="s">
        <v>9</v>
      </c>
      <c r="D13" s="56">
        <v>2019</v>
      </c>
      <c r="E13" s="56" t="s">
        <v>85</v>
      </c>
      <c r="F13" s="56" t="s">
        <v>81</v>
      </c>
      <c r="G13" s="56" t="s">
        <v>193</v>
      </c>
      <c r="H13" s="56">
        <v>4</v>
      </c>
      <c r="I13" s="56">
        <v>1920</v>
      </c>
      <c r="J13" s="56">
        <v>301</v>
      </c>
      <c r="K13" s="56">
        <v>215</v>
      </c>
      <c r="L13" s="56">
        <v>834.75</v>
      </c>
      <c r="M13" s="56" t="s">
        <v>194</v>
      </c>
      <c r="N13" s="56">
        <v>480</v>
      </c>
      <c r="O13" s="56">
        <v>480</v>
      </c>
      <c r="P13" s="56">
        <v>189.75</v>
      </c>
      <c r="Q13" s="56">
        <v>215</v>
      </c>
      <c r="R13" s="56" t="s">
        <v>232</v>
      </c>
    </row>
    <row r="14" spans="1:18">
      <c r="A14" s="220">
        <v>44196</v>
      </c>
      <c r="B14" s="56" t="s">
        <v>5</v>
      </c>
      <c r="C14" s="56" t="s">
        <v>9</v>
      </c>
      <c r="D14" s="56">
        <v>2019</v>
      </c>
      <c r="E14" s="56" t="s">
        <v>86</v>
      </c>
      <c r="F14" s="56" t="s">
        <v>81</v>
      </c>
      <c r="G14" s="56" t="s">
        <v>193</v>
      </c>
      <c r="H14" s="56">
        <v>4</v>
      </c>
      <c r="I14" s="56">
        <v>2040</v>
      </c>
      <c r="J14" s="56">
        <v>322.5</v>
      </c>
      <c r="K14" s="56">
        <v>215</v>
      </c>
      <c r="L14" s="56">
        <v>833.25</v>
      </c>
      <c r="M14" s="56" t="s">
        <v>194</v>
      </c>
      <c r="N14" s="56">
        <v>440</v>
      </c>
      <c r="O14" s="56">
        <v>600</v>
      </c>
      <c r="P14" s="56">
        <v>193.5</v>
      </c>
      <c r="Q14" s="56">
        <v>215</v>
      </c>
      <c r="R14" s="56" t="s">
        <v>232</v>
      </c>
    </row>
    <row r="15" spans="1:18">
      <c r="A15" s="220">
        <v>44196</v>
      </c>
      <c r="B15" s="56" t="s">
        <v>5</v>
      </c>
      <c r="C15" s="56" t="s">
        <v>9</v>
      </c>
      <c r="D15" s="56">
        <v>2019</v>
      </c>
      <c r="E15" s="56" t="s">
        <v>140</v>
      </c>
      <c r="F15" s="56" t="s">
        <v>81</v>
      </c>
      <c r="G15" s="56" t="s">
        <v>193</v>
      </c>
      <c r="H15" s="56">
        <v>75</v>
      </c>
      <c r="I15" s="56">
        <v>38087</v>
      </c>
      <c r="J15" s="56">
        <v>2483.25</v>
      </c>
      <c r="K15" s="56">
        <v>6190</v>
      </c>
      <c r="L15" s="56">
        <v>16011.75</v>
      </c>
      <c r="M15" s="56" t="s">
        <v>194</v>
      </c>
      <c r="N15" s="56">
        <v>72</v>
      </c>
      <c r="O15" s="56">
        <v>1300</v>
      </c>
      <c r="P15" s="56">
        <v>72</v>
      </c>
      <c r="Q15" s="56">
        <v>600</v>
      </c>
      <c r="R15" s="56" t="s">
        <v>232</v>
      </c>
    </row>
    <row r="16" spans="1:18">
      <c r="A16" s="220">
        <v>44196</v>
      </c>
      <c r="B16" s="56" t="s">
        <v>5</v>
      </c>
      <c r="C16" s="56" t="s">
        <v>9</v>
      </c>
      <c r="D16" s="56">
        <v>2019</v>
      </c>
      <c r="E16" s="56" t="s">
        <v>88</v>
      </c>
      <c r="F16" s="56" t="s">
        <v>81</v>
      </c>
      <c r="G16" s="56" t="s">
        <v>193</v>
      </c>
      <c r="H16" s="56">
        <v>53</v>
      </c>
      <c r="I16" s="56">
        <v>38156</v>
      </c>
      <c r="J16" s="56">
        <v>1881.25</v>
      </c>
      <c r="K16" s="56">
        <v>5043</v>
      </c>
      <c r="L16" s="56">
        <v>16903</v>
      </c>
      <c r="M16" s="56" t="s">
        <v>194</v>
      </c>
      <c r="N16" s="56">
        <v>300</v>
      </c>
      <c r="O16" s="56">
        <v>1107.5</v>
      </c>
      <c r="P16" s="56">
        <v>5</v>
      </c>
      <c r="Q16" s="56">
        <v>600</v>
      </c>
      <c r="R16" s="56" t="s">
        <v>232</v>
      </c>
    </row>
    <row r="17" spans="1:18">
      <c r="A17" s="220">
        <v>44196</v>
      </c>
      <c r="B17" s="56" t="s">
        <v>5</v>
      </c>
      <c r="C17" s="56" t="s">
        <v>9</v>
      </c>
      <c r="D17" s="56">
        <v>2019</v>
      </c>
      <c r="E17" s="56" t="s">
        <v>89</v>
      </c>
      <c r="F17" s="56" t="s">
        <v>81</v>
      </c>
      <c r="G17" s="56" t="s">
        <v>193</v>
      </c>
      <c r="H17" s="56">
        <v>6</v>
      </c>
      <c r="I17" s="56">
        <v>1247</v>
      </c>
      <c r="J17" s="56">
        <v>396</v>
      </c>
      <c r="K17" s="56">
        <v>0</v>
      </c>
      <c r="L17" s="56">
        <v>851</v>
      </c>
      <c r="M17" s="56" t="s">
        <v>194</v>
      </c>
      <c r="N17" s="56">
        <v>150</v>
      </c>
      <c r="O17" s="56">
        <v>230</v>
      </c>
      <c r="P17" s="56">
        <v>87</v>
      </c>
      <c r="Q17" s="56">
        <v>167</v>
      </c>
      <c r="R17" s="56" t="s">
        <v>232</v>
      </c>
    </row>
    <row r="18" spans="1:18">
      <c r="A18" s="220">
        <v>44196</v>
      </c>
      <c r="B18" s="56" t="s">
        <v>5</v>
      </c>
      <c r="C18" s="56" t="s">
        <v>9</v>
      </c>
      <c r="D18" s="56">
        <v>2019</v>
      </c>
      <c r="E18" s="56" t="s">
        <v>90</v>
      </c>
      <c r="F18" s="56" t="s">
        <v>81</v>
      </c>
      <c r="G18" s="56" t="s">
        <v>193</v>
      </c>
      <c r="H18" s="56">
        <v>5</v>
      </c>
      <c r="I18" s="56">
        <v>1150</v>
      </c>
      <c r="J18" s="56">
        <v>315</v>
      </c>
      <c r="K18" s="56">
        <v>0</v>
      </c>
      <c r="L18" s="56">
        <v>835</v>
      </c>
      <c r="M18" s="56" t="s">
        <v>194</v>
      </c>
      <c r="N18" s="56">
        <v>230</v>
      </c>
      <c r="O18" s="56">
        <v>230</v>
      </c>
      <c r="P18" s="56">
        <v>167</v>
      </c>
      <c r="Q18" s="56">
        <v>167</v>
      </c>
      <c r="R18" s="56" t="s">
        <v>232</v>
      </c>
    </row>
    <row r="19" spans="1:18">
      <c r="A19" s="220">
        <v>44196</v>
      </c>
      <c r="B19" s="56" t="s">
        <v>5</v>
      </c>
      <c r="C19" s="56" t="s">
        <v>9</v>
      </c>
      <c r="D19" s="56">
        <v>2019</v>
      </c>
      <c r="E19" s="56" t="s">
        <v>91</v>
      </c>
      <c r="F19" s="56" t="s">
        <v>81</v>
      </c>
      <c r="G19" s="56" t="s">
        <v>193</v>
      </c>
      <c r="H19" s="56">
        <v>15</v>
      </c>
      <c r="I19" s="56">
        <v>4765</v>
      </c>
      <c r="J19" s="56">
        <v>1095.25</v>
      </c>
      <c r="K19" s="56">
        <v>560</v>
      </c>
      <c r="L19" s="56">
        <v>1434.75</v>
      </c>
      <c r="M19" s="56" t="s">
        <v>194</v>
      </c>
      <c r="N19" s="56">
        <v>130</v>
      </c>
      <c r="O19" s="56">
        <v>450</v>
      </c>
      <c r="P19" s="56">
        <v>60</v>
      </c>
      <c r="Q19" s="56">
        <v>100</v>
      </c>
      <c r="R19" s="56" t="s">
        <v>232</v>
      </c>
    </row>
    <row r="20" spans="1:18">
      <c r="A20" s="220">
        <v>44196</v>
      </c>
      <c r="B20" s="56" t="s">
        <v>5</v>
      </c>
      <c r="C20" s="56" t="s">
        <v>9</v>
      </c>
      <c r="D20" s="56">
        <v>2019</v>
      </c>
      <c r="E20" s="56" t="s">
        <v>92</v>
      </c>
      <c r="F20" s="56" t="s">
        <v>81</v>
      </c>
      <c r="G20" s="56" t="s">
        <v>193</v>
      </c>
      <c r="H20" s="56">
        <v>309</v>
      </c>
      <c r="I20" s="56">
        <v>125739.4</v>
      </c>
      <c r="J20" s="56">
        <v>32602.87</v>
      </c>
      <c r="K20" s="56">
        <v>15022.03</v>
      </c>
      <c r="L20" s="56">
        <v>56198.5</v>
      </c>
      <c r="M20" s="56" t="s">
        <v>194</v>
      </c>
      <c r="N20" s="56">
        <v>10.75</v>
      </c>
      <c r="O20" s="56">
        <v>1100</v>
      </c>
      <c r="P20" s="56">
        <v>0.75</v>
      </c>
      <c r="Q20" s="56">
        <v>613</v>
      </c>
      <c r="R20" s="56" t="s">
        <v>232</v>
      </c>
    </row>
    <row r="21" spans="1:18">
      <c r="A21" s="220">
        <v>44196</v>
      </c>
      <c r="B21" s="56" t="s">
        <v>5</v>
      </c>
      <c r="C21" s="56" t="s">
        <v>9</v>
      </c>
      <c r="D21" s="56">
        <v>2019</v>
      </c>
      <c r="E21" s="56" t="s">
        <v>93</v>
      </c>
      <c r="F21" s="56" t="s">
        <v>81</v>
      </c>
      <c r="G21" s="56" t="s">
        <v>193</v>
      </c>
      <c r="H21" s="56">
        <v>10</v>
      </c>
      <c r="I21" s="56">
        <v>4580</v>
      </c>
      <c r="J21" s="56">
        <v>0</v>
      </c>
      <c r="K21" s="56">
        <v>0</v>
      </c>
      <c r="L21" s="56">
        <v>2415</v>
      </c>
      <c r="M21" s="56" t="s">
        <v>194</v>
      </c>
      <c r="N21" s="56">
        <v>100</v>
      </c>
      <c r="O21" s="56">
        <v>2000</v>
      </c>
      <c r="P21" s="56">
        <v>100</v>
      </c>
      <c r="Q21" s="56">
        <v>385</v>
      </c>
      <c r="R21" s="56" t="s">
        <v>232</v>
      </c>
    </row>
    <row r="22" spans="1:18">
      <c r="A22" s="220">
        <v>44196</v>
      </c>
      <c r="B22" s="56" t="s">
        <v>5</v>
      </c>
      <c r="C22" s="56" t="s">
        <v>9</v>
      </c>
      <c r="D22" s="56">
        <v>2019</v>
      </c>
      <c r="E22" s="56" t="s">
        <v>94</v>
      </c>
      <c r="F22" s="56" t="s">
        <v>81</v>
      </c>
      <c r="G22" s="56" t="s">
        <v>193</v>
      </c>
      <c r="H22" s="56">
        <v>99</v>
      </c>
      <c r="I22" s="56">
        <v>10946.28</v>
      </c>
      <c r="J22" s="56">
        <v>547.55999999999995</v>
      </c>
      <c r="K22" s="56">
        <v>700</v>
      </c>
      <c r="L22" s="56">
        <v>3766.48</v>
      </c>
      <c r="M22" s="56" t="s">
        <v>194</v>
      </c>
      <c r="N22" s="56">
        <v>15</v>
      </c>
      <c r="O22" s="56">
        <v>500</v>
      </c>
      <c r="P22" s="56">
        <v>4</v>
      </c>
      <c r="Q22" s="56">
        <v>60</v>
      </c>
      <c r="R22" s="56" t="s">
        <v>232</v>
      </c>
    </row>
    <row r="23" spans="1:18">
      <c r="A23" s="220">
        <v>44196</v>
      </c>
      <c r="B23" s="56" t="s">
        <v>5</v>
      </c>
      <c r="C23" s="56" t="s">
        <v>9</v>
      </c>
      <c r="D23" s="56">
        <v>2019</v>
      </c>
      <c r="E23" s="56" t="s">
        <v>141</v>
      </c>
      <c r="F23" s="56" t="s">
        <v>81</v>
      </c>
      <c r="G23" s="56" t="s">
        <v>193</v>
      </c>
      <c r="H23" s="56">
        <v>4</v>
      </c>
      <c r="I23" s="56">
        <v>160</v>
      </c>
      <c r="J23" s="56">
        <v>112</v>
      </c>
      <c r="K23" s="56">
        <v>0</v>
      </c>
      <c r="L23" s="56">
        <v>48</v>
      </c>
      <c r="M23" s="56" t="s">
        <v>194</v>
      </c>
      <c r="N23" s="56">
        <v>40</v>
      </c>
      <c r="O23" s="56">
        <v>40</v>
      </c>
      <c r="P23" s="56">
        <v>12</v>
      </c>
      <c r="Q23" s="56">
        <v>12</v>
      </c>
      <c r="R23" s="56" t="s">
        <v>232</v>
      </c>
    </row>
    <row r="24" spans="1:18">
      <c r="A24" s="220">
        <v>44196</v>
      </c>
      <c r="B24" s="56" t="s">
        <v>5</v>
      </c>
      <c r="C24" s="56" t="s">
        <v>9</v>
      </c>
      <c r="D24" s="56">
        <v>2019</v>
      </c>
      <c r="E24" s="56" t="s">
        <v>142</v>
      </c>
      <c r="F24" s="56" t="s">
        <v>81</v>
      </c>
      <c r="G24" s="56" t="s">
        <v>193</v>
      </c>
      <c r="H24" s="56">
        <v>32</v>
      </c>
      <c r="I24" s="56">
        <v>3407.62</v>
      </c>
      <c r="J24" s="56">
        <v>0</v>
      </c>
      <c r="K24" s="56">
        <v>500</v>
      </c>
      <c r="L24" s="56">
        <v>1377.62</v>
      </c>
      <c r="M24" s="56" t="s">
        <v>194</v>
      </c>
      <c r="N24" s="56">
        <v>16.62</v>
      </c>
      <c r="O24" s="56">
        <v>350</v>
      </c>
      <c r="P24" s="56">
        <v>16.62</v>
      </c>
      <c r="Q24" s="56">
        <v>60</v>
      </c>
      <c r="R24" s="56" t="s">
        <v>232</v>
      </c>
    </row>
    <row r="25" spans="1:18">
      <c r="A25" s="220">
        <v>44196</v>
      </c>
      <c r="B25" s="56" t="s">
        <v>5</v>
      </c>
      <c r="C25" s="56" t="s">
        <v>9</v>
      </c>
      <c r="D25" s="56">
        <v>2019</v>
      </c>
      <c r="E25" s="56" t="s">
        <v>95</v>
      </c>
      <c r="F25" s="56" t="s">
        <v>81</v>
      </c>
      <c r="G25" s="56" t="s">
        <v>193</v>
      </c>
      <c r="H25" s="56">
        <v>9</v>
      </c>
      <c r="I25" s="56">
        <v>4218.5</v>
      </c>
      <c r="J25" s="56">
        <v>617.05999999999995</v>
      </c>
      <c r="K25" s="56">
        <v>172</v>
      </c>
      <c r="L25" s="56">
        <v>1763</v>
      </c>
      <c r="M25" s="56" t="s">
        <v>194</v>
      </c>
      <c r="N25" s="56">
        <v>278.5</v>
      </c>
      <c r="O25" s="56">
        <v>860</v>
      </c>
      <c r="P25" s="56">
        <v>129</v>
      </c>
      <c r="Q25" s="56">
        <v>365.5</v>
      </c>
      <c r="R25" s="56" t="s">
        <v>232</v>
      </c>
    </row>
    <row r="26" spans="1:18">
      <c r="A26" s="220">
        <v>44196</v>
      </c>
      <c r="B26" s="56" t="s">
        <v>5</v>
      </c>
      <c r="C26" s="56" t="s">
        <v>9</v>
      </c>
      <c r="D26" s="56">
        <v>2019</v>
      </c>
      <c r="E26" s="56" t="s">
        <v>97</v>
      </c>
      <c r="F26" s="56" t="s">
        <v>81</v>
      </c>
      <c r="G26" s="56" t="s">
        <v>193</v>
      </c>
      <c r="H26" s="56">
        <v>9</v>
      </c>
      <c r="I26" s="56">
        <v>8020</v>
      </c>
      <c r="J26" s="56">
        <v>1030.94</v>
      </c>
      <c r="K26" s="56">
        <v>0</v>
      </c>
      <c r="L26" s="56">
        <v>3332.5</v>
      </c>
      <c r="M26" s="56" t="s">
        <v>194</v>
      </c>
      <c r="N26" s="56">
        <v>1050</v>
      </c>
      <c r="O26" s="56">
        <v>1300</v>
      </c>
      <c r="P26" s="56">
        <v>387</v>
      </c>
      <c r="Q26" s="56">
        <v>774</v>
      </c>
      <c r="R26" s="56" t="s">
        <v>232</v>
      </c>
    </row>
    <row r="27" spans="1:18">
      <c r="A27" s="220">
        <v>44196</v>
      </c>
      <c r="B27" s="56" t="s">
        <v>5</v>
      </c>
      <c r="C27" s="56" t="s">
        <v>9</v>
      </c>
      <c r="D27" s="56">
        <v>2019</v>
      </c>
      <c r="E27" s="56" t="s">
        <v>98</v>
      </c>
      <c r="F27" s="56" t="s">
        <v>81</v>
      </c>
      <c r="G27" s="56" t="s">
        <v>193</v>
      </c>
      <c r="H27" s="56">
        <v>90</v>
      </c>
      <c r="I27" s="56">
        <v>32432</v>
      </c>
      <c r="J27" s="56">
        <v>4490.3900000000003</v>
      </c>
      <c r="K27" s="56">
        <v>3486</v>
      </c>
      <c r="L27" s="56">
        <v>12312.5</v>
      </c>
      <c r="M27" s="56" t="s">
        <v>194</v>
      </c>
      <c r="N27" s="56">
        <v>400</v>
      </c>
      <c r="O27" s="56">
        <v>960</v>
      </c>
      <c r="P27" s="56">
        <v>50.87</v>
      </c>
      <c r="Q27" s="56">
        <v>430</v>
      </c>
      <c r="R27" s="56" t="s">
        <v>232</v>
      </c>
    </row>
    <row r="28" spans="1:18">
      <c r="A28" s="220">
        <v>44196</v>
      </c>
      <c r="B28" s="56" t="s">
        <v>5</v>
      </c>
      <c r="C28" s="56" t="s">
        <v>9</v>
      </c>
      <c r="D28" s="56">
        <v>2019</v>
      </c>
      <c r="E28" s="56" t="s">
        <v>99</v>
      </c>
      <c r="F28" s="56" t="s">
        <v>81</v>
      </c>
      <c r="G28" s="56" t="s">
        <v>193</v>
      </c>
      <c r="H28" s="56">
        <v>7</v>
      </c>
      <c r="I28" s="56">
        <v>1544.5</v>
      </c>
      <c r="J28" s="56">
        <v>376.25</v>
      </c>
      <c r="K28" s="56">
        <v>215</v>
      </c>
      <c r="L28" s="56">
        <v>864</v>
      </c>
      <c r="M28" s="56" t="s">
        <v>194</v>
      </c>
      <c r="N28" s="56">
        <v>264.5</v>
      </c>
      <c r="O28" s="56">
        <v>320</v>
      </c>
      <c r="P28" s="56">
        <v>29.75</v>
      </c>
      <c r="Q28" s="56">
        <v>215</v>
      </c>
      <c r="R28" s="56" t="s">
        <v>232</v>
      </c>
    </row>
    <row r="29" spans="1:18">
      <c r="A29" s="220">
        <v>44196</v>
      </c>
      <c r="B29" s="56" t="s">
        <v>5</v>
      </c>
      <c r="C29" s="56" t="s">
        <v>9</v>
      </c>
      <c r="D29" s="56">
        <v>2019</v>
      </c>
      <c r="E29" s="56" t="s">
        <v>100</v>
      </c>
      <c r="F29" s="56" t="s">
        <v>81</v>
      </c>
      <c r="G29" s="56" t="s">
        <v>193</v>
      </c>
      <c r="H29" s="56">
        <v>27</v>
      </c>
      <c r="I29" s="56">
        <v>11910</v>
      </c>
      <c r="J29" s="56">
        <v>1799.55</v>
      </c>
      <c r="K29" s="56">
        <v>2687.5</v>
      </c>
      <c r="L29" s="56">
        <v>3642.26</v>
      </c>
      <c r="M29" s="56" t="s">
        <v>194</v>
      </c>
      <c r="N29" s="56">
        <v>500</v>
      </c>
      <c r="O29" s="56">
        <v>1465</v>
      </c>
      <c r="P29" s="56">
        <v>59.13</v>
      </c>
      <c r="Q29" s="56">
        <v>559</v>
      </c>
      <c r="R29" s="56" t="s">
        <v>232</v>
      </c>
    </row>
    <row r="30" spans="1:18">
      <c r="A30" s="220">
        <v>44196</v>
      </c>
      <c r="B30" s="56" t="s">
        <v>5</v>
      </c>
      <c r="C30" s="56" t="s">
        <v>9</v>
      </c>
      <c r="D30" s="56">
        <v>2019</v>
      </c>
      <c r="E30" s="56" t="s">
        <v>101</v>
      </c>
      <c r="F30" s="56" t="s">
        <v>81</v>
      </c>
      <c r="G30" s="56" t="s">
        <v>193</v>
      </c>
      <c r="H30" s="56">
        <v>13</v>
      </c>
      <c r="I30" s="56">
        <v>10940</v>
      </c>
      <c r="J30" s="56">
        <v>1339.45</v>
      </c>
      <c r="K30" s="56">
        <v>989</v>
      </c>
      <c r="L30" s="56">
        <v>3480.61</v>
      </c>
      <c r="M30" s="56" t="s">
        <v>194</v>
      </c>
      <c r="N30" s="56">
        <v>290</v>
      </c>
      <c r="O30" s="56">
        <v>2040</v>
      </c>
      <c r="P30" s="56">
        <v>59.13</v>
      </c>
      <c r="Q30" s="56">
        <v>559</v>
      </c>
      <c r="R30" s="56" t="s">
        <v>232</v>
      </c>
    </row>
    <row r="31" spans="1:18">
      <c r="A31" s="220">
        <v>44196</v>
      </c>
      <c r="B31" s="56" t="s">
        <v>5</v>
      </c>
      <c r="C31" s="56" t="s">
        <v>9</v>
      </c>
      <c r="D31" s="56">
        <v>2019</v>
      </c>
      <c r="E31" s="56" t="s">
        <v>102</v>
      </c>
      <c r="F31" s="56" t="s">
        <v>81</v>
      </c>
      <c r="G31" s="56" t="s">
        <v>193</v>
      </c>
      <c r="H31" s="56">
        <v>275</v>
      </c>
      <c r="I31" s="56">
        <v>95486.64</v>
      </c>
      <c r="J31" s="56">
        <v>16821.41</v>
      </c>
      <c r="K31" s="56">
        <v>9414.43</v>
      </c>
      <c r="L31" s="56">
        <v>39253.9</v>
      </c>
      <c r="M31" s="56" t="s">
        <v>194</v>
      </c>
      <c r="N31" s="56">
        <v>25</v>
      </c>
      <c r="O31" s="56">
        <v>1635</v>
      </c>
      <c r="P31" s="56">
        <v>5</v>
      </c>
      <c r="Q31" s="56">
        <v>559</v>
      </c>
      <c r="R31" s="56" t="s">
        <v>232</v>
      </c>
    </row>
    <row r="32" spans="1:18">
      <c r="A32" s="220">
        <v>44196</v>
      </c>
      <c r="B32" s="56" t="s">
        <v>5</v>
      </c>
      <c r="C32" s="56" t="s">
        <v>9</v>
      </c>
      <c r="D32" s="56">
        <v>2019</v>
      </c>
      <c r="E32" s="56" t="s">
        <v>143</v>
      </c>
      <c r="F32" s="56" t="s">
        <v>81</v>
      </c>
      <c r="G32" s="56" t="s">
        <v>193</v>
      </c>
      <c r="H32" s="56">
        <v>8</v>
      </c>
      <c r="I32" s="56">
        <v>730</v>
      </c>
      <c r="J32" s="56">
        <v>0</v>
      </c>
      <c r="K32" s="56">
        <v>150</v>
      </c>
      <c r="L32" s="56">
        <v>390</v>
      </c>
      <c r="M32" s="56" t="s">
        <v>194</v>
      </c>
      <c r="N32" s="56">
        <v>50</v>
      </c>
      <c r="O32" s="56">
        <v>110</v>
      </c>
      <c r="P32" s="56">
        <v>20</v>
      </c>
      <c r="Q32" s="56">
        <v>60</v>
      </c>
      <c r="R32" s="56" t="s">
        <v>232</v>
      </c>
    </row>
    <row r="33" spans="1:18">
      <c r="A33" s="220">
        <v>44196</v>
      </c>
      <c r="B33" s="56" t="s">
        <v>5</v>
      </c>
      <c r="C33" s="56" t="s">
        <v>9</v>
      </c>
      <c r="D33" s="56">
        <v>2019</v>
      </c>
      <c r="E33" s="56" t="s">
        <v>144</v>
      </c>
      <c r="F33" s="56" t="s">
        <v>81</v>
      </c>
      <c r="G33" s="56" t="s">
        <v>193</v>
      </c>
      <c r="H33" s="56">
        <v>1</v>
      </c>
      <c r="I33" s="56">
        <v>21.5</v>
      </c>
      <c r="J33" s="56">
        <v>15.05</v>
      </c>
      <c r="K33" s="56">
        <v>0</v>
      </c>
      <c r="L33" s="56">
        <v>6.45</v>
      </c>
      <c r="M33" s="56" t="s">
        <v>194</v>
      </c>
      <c r="N33" s="56">
        <v>21.5</v>
      </c>
      <c r="O33" s="56">
        <v>21.5</v>
      </c>
      <c r="P33" s="56">
        <v>6.45</v>
      </c>
      <c r="Q33" s="56">
        <v>6.45</v>
      </c>
      <c r="R33" s="56" t="s">
        <v>232</v>
      </c>
    </row>
    <row r="34" spans="1:18">
      <c r="A34" s="220">
        <v>44196</v>
      </c>
      <c r="B34" s="56" t="s">
        <v>5</v>
      </c>
      <c r="C34" s="56" t="s">
        <v>9</v>
      </c>
      <c r="D34" s="56">
        <v>2019</v>
      </c>
      <c r="E34" s="56" t="s">
        <v>104</v>
      </c>
      <c r="F34" s="56" t="s">
        <v>81</v>
      </c>
      <c r="G34" s="56" t="s">
        <v>193</v>
      </c>
      <c r="H34" s="56">
        <v>1383</v>
      </c>
      <c r="I34" s="56">
        <v>49318.449999999597</v>
      </c>
      <c r="J34" s="56">
        <v>33297.230000000098</v>
      </c>
      <c r="K34" s="56">
        <v>180.12</v>
      </c>
      <c r="L34" s="56">
        <v>14461.0000000001</v>
      </c>
      <c r="M34" s="56" t="s">
        <v>194</v>
      </c>
      <c r="N34" s="56">
        <v>3.99</v>
      </c>
      <c r="O34" s="56">
        <v>520</v>
      </c>
      <c r="P34" s="56">
        <v>1.2</v>
      </c>
      <c r="Q34" s="56">
        <v>130.12</v>
      </c>
      <c r="R34" s="56" t="s">
        <v>232</v>
      </c>
    </row>
    <row r="35" spans="1:18">
      <c r="A35" s="220">
        <v>44196</v>
      </c>
      <c r="B35" s="56" t="s">
        <v>5</v>
      </c>
      <c r="C35" s="56" t="s">
        <v>9</v>
      </c>
      <c r="D35" s="56">
        <v>2019</v>
      </c>
      <c r="E35" s="56" t="s">
        <v>106</v>
      </c>
      <c r="F35" s="56" t="s">
        <v>105</v>
      </c>
      <c r="G35" s="56" t="s">
        <v>193</v>
      </c>
      <c r="H35" s="56">
        <v>2</v>
      </c>
      <c r="I35" s="56">
        <v>0</v>
      </c>
      <c r="J35" s="56">
        <v>0</v>
      </c>
      <c r="K35" s="56">
        <v>0</v>
      </c>
      <c r="L35" s="56">
        <v>0</v>
      </c>
      <c r="M35" s="56" t="s">
        <v>194</v>
      </c>
      <c r="N35" s="56">
        <v>33.44</v>
      </c>
      <c r="O35" s="56">
        <v>33.44</v>
      </c>
      <c r="P35" s="56">
        <v>10.029999999999999</v>
      </c>
      <c r="Q35" s="56">
        <v>10.029999999999999</v>
      </c>
      <c r="R35" s="56" t="s">
        <v>232</v>
      </c>
    </row>
    <row r="36" spans="1:18">
      <c r="A36" s="220">
        <v>44196</v>
      </c>
      <c r="B36" s="56" t="s">
        <v>5</v>
      </c>
      <c r="C36" s="56" t="s">
        <v>9</v>
      </c>
      <c r="D36" s="56">
        <v>2019</v>
      </c>
      <c r="E36" s="56" t="s">
        <v>107</v>
      </c>
      <c r="F36" s="56" t="s">
        <v>105</v>
      </c>
      <c r="G36" s="56" t="s">
        <v>193</v>
      </c>
      <c r="H36" s="56">
        <v>938</v>
      </c>
      <c r="I36" s="56">
        <v>60289.56</v>
      </c>
      <c r="J36" s="56">
        <v>0</v>
      </c>
      <c r="K36" s="56">
        <v>5200.58</v>
      </c>
      <c r="L36" s="56">
        <v>45918.239999999998</v>
      </c>
      <c r="M36" s="56" t="s">
        <v>194</v>
      </c>
      <c r="N36" s="56">
        <v>12</v>
      </c>
      <c r="O36" s="56">
        <v>330</v>
      </c>
      <c r="P36" s="56">
        <v>7.46</v>
      </c>
      <c r="Q36" s="56">
        <v>67.540000000000006</v>
      </c>
      <c r="R36" s="56" t="s">
        <v>232</v>
      </c>
    </row>
    <row r="37" spans="1:18">
      <c r="A37" s="220">
        <v>44196</v>
      </c>
      <c r="B37" s="56" t="s">
        <v>5</v>
      </c>
      <c r="C37" s="56" t="s">
        <v>9</v>
      </c>
      <c r="D37" s="56">
        <v>2019</v>
      </c>
      <c r="E37" s="56" t="s">
        <v>145</v>
      </c>
      <c r="F37" s="56" t="s">
        <v>105</v>
      </c>
      <c r="G37" s="56" t="s">
        <v>193</v>
      </c>
      <c r="H37" s="56">
        <v>2</v>
      </c>
      <c r="I37" s="56">
        <v>100.36</v>
      </c>
      <c r="J37" s="56">
        <v>80.290000000000006</v>
      </c>
      <c r="K37" s="56">
        <v>0</v>
      </c>
      <c r="L37" s="56">
        <v>20.07</v>
      </c>
      <c r="M37" s="56" t="s">
        <v>194</v>
      </c>
      <c r="N37" s="56">
        <v>39.549999999999997</v>
      </c>
      <c r="O37" s="56">
        <v>60.81</v>
      </c>
      <c r="P37" s="56">
        <v>7.91</v>
      </c>
      <c r="Q37" s="56">
        <v>12.16</v>
      </c>
      <c r="R37" s="56" t="s">
        <v>232</v>
      </c>
    </row>
    <row r="38" spans="1:18">
      <c r="A38" s="220">
        <v>44196</v>
      </c>
      <c r="B38" s="56" t="s">
        <v>5</v>
      </c>
      <c r="C38" s="56" t="s">
        <v>9</v>
      </c>
      <c r="D38" s="56">
        <v>2019</v>
      </c>
      <c r="E38" s="56" t="s">
        <v>108</v>
      </c>
      <c r="F38" s="56" t="s">
        <v>105</v>
      </c>
      <c r="G38" s="56" t="s">
        <v>193</v>
      </c>
      <c r="H38" s="56">
        <v>12</v>
      </c>
      <c r="I38" s="56">
        <v>167</v>
      </c>
      <c r="J38" s="56">
        <v>0</v>
      </c>
      <c r="K38" s="56">
        <v>0</v>
      </c>
      <c r="L38" s="56">
        <v>167</v>
      </c>
      <c r="M38" s="56" t="s">
        <v>194</v>
      </c>
      <c r="N38" s="56">
        <v>13</v>
      </c>
      <c r="O38" s="56">
        <v>50</v>
      </c>
      <c r="P38" s="56">
        <v>13</v>
      </c>
      <c r="Q38" s="56">
        <v>50</v>
      </c>
      <c r="R38" s="56" t="s">
        <v>232</v>
      </c>
    </row>
    <row r="39" spans="1:18">
      <c r="A39" s="220">
        <v>44196</v>
      </c>
      <c r="B39" s="56" t="s">
        <v>5</v>
      </c>
      <c r="C39" s="56" t="s">
        <v>9</v>
      </c>
      <c r="D39" s="56">
        <v>2019</v>
      </c>
      <c r="E39" s="56" t="s">
        <v>109</v>
      </c>
      <c r="F39" s="56" t="s">
        <v>105</v>
      </c>
      <c r="G39" s="56" t="s">
        <v>193</v>
      </c>
      <c r="H39" s="56">
        <v>2855</v>
      </c>
      <c r="I39" s="56">
        <v>336203.75</v>
      </c>
      <c r="J39" s="56">
        <v>191499.49</v>
      </c>
      <c r="K39" s="56">
        <v>1198.2</v>
      </c>
      <c r="L39" s="56">
        <v>108871.74</v>
      </c>
      <c r="M39" s="56" t="s">
        <v>194</v>
      </c>
      <c r="N39" s="56">
        <v>0.65</v>
      </c>
      <c r="O39" s="56">
        <v>3007.89</v>
      </c>
      <c r="P39" s="56">
        <v>0.13</v>
      </c>
      <c r="Q39" s="56">
        <v>1636.86</v>
      </c>
      <c r="R39" s="56" t="s">
        <v>232</v>
      </c>
    </row>
    <row r="40" spans="1:18">
      <c r="A40" s="220">
        <v>44196</v>
      </c>
      <c r="B40" s="56" t="s">
        <v>5</v>
      </c>
      <c r="C40" s="56" t="s">
        <v>9</v>
      </c>
      <c r="D40" s="56">
        <v>2019</v>
      </c>
      <c r="E40" s="56" t="s">
        <v>110</v>
      </c>
      <c r="F40" s="56" t="s">
        <v>105</v>
      </c>
      <c r="G40" s="56" t="s">
        <v>193</v>
      </c>
      <c r="H40" s="56">
        <v>185</v>
      </c>
      <c r="I40" s="56">
        <v>9480.7999999999993</v>
      </c>
      <c r="J40" s="56">
        <v>6162.55</v>
      </c>
      <c r="K40" s="56">
        <v>0</v>
      </c>
      <c r="L40" s="56">
        <v>3318.25</v>
      </c>
      <c r="M40" s="56" t="s">
        <v>194</v>
      </c>
      <c r="N40" s="56">
        <v>18.760000000000002</v>
      </c>
      <c r="O40" s="56">
        <v>2460</v>
      </c>
      <c r="P40" s="56">
        <v>6.57</v>
      </c>
      <c r="Q40" s="56">
        <v>861</v>
      </c>
      <c r="R40" s="56" t="s">
        <v>232</v>
      </c>
    </row>
    <row r="41" spans="1:18">
      <c r="A41" s="220">
        <v>44196</v>
      </c>
      <c r="B41" s="56" t="s">
        <v>5</v>
      </c>
      <c r="C41" s="56" t="s">
        <v>9</v>
      </c>
      <c r="D41" s="56">
        <v>2019</v>
      </c>
      <c r="E41" s="56" t="s">
        <v>112</v>
      </c>
      <c r="F41" s="56" t="s">
        <v>111</v>
      </c>
      <c r="G41" s="56" t="s">
        <v>193</v>
      </c>
      <c r="H41" s="56">
        <v>309</v>
      </c>
      <c r="I41" s="56">
        <v>24896.38</v>
      </c>
      <c r="J41" s="56">
        <v>3554.31</v>
      </c>
      <c r="K41" s="56">
        <v>1915.52</v>
      </c>
      <c r="L41" s="56">
        <v>16691.11</v>
      </c>
      <c r="M41" s="56" t="s">
        <v>194</v>
      </c>
      <c r="N41" s="56">
        <v>2</v>
      </c>
      <c r="O41" s="56">
        <v>1241.2</v>
      </c>
      <c r="P41" s="56">
        <v>0.3</v>
      </c>
      <c r="Q41" s="56">
        <v>865</v>
      </c>
      <c r="R41" s="56" t="s">
        <v>232</v>
      </c>
    </row>
    <row r="42" spans="1:18">
      <c r="A42" s="220">
        <v>44196</v>
      </c>
      <c r="B42" s="56" t="s">
        <v>5</v>
      </c>
      <c r="C42" s="56" t="s">
        <v>9</v>
      </c>
      <c r="D42" s="56">
        <v>2019</v>
      </c>
      <c r="E42" s="56" t="s">
        <v>146</v>
      </c>
      <c r="F42" s="56" t="s">
        <v>113</v>
      </c>
      <c r="G42" s="56" t="s">
        <v>193</v>
      </c>
      <c r="H42" s="56">
        <v>2</v>
      </c>
      <c r="I42" s="56">
        <v>9.1999999999999993</v>
      </c>
      <c r="J42" s="56">
        <v>0</v>
      </c>
      <c r="K42" s="56">
        <v>0</v>
      </c>
      <c r="L42" s="56">
        <v>9.1999999999999993</v>
      </c>
      <c r="M42" s="56" t="s">
        <v>194</v>
      </c>
      <c r="N42" s="56">
        <v>4.5999999999999996</v>
      </c>
      <c r="O42" s="56">
        <v>4.5999999999999996</v>
      </c>
      <c r="P42" s="56">
        <v>4.5999999999999996</v>
      </c>
      <c r="Q42" s="56">
        <v>4.5999999999999996</v>
      </c>
      <c r="R42" s="56" t="s">
        <v>232</v>
      </c>
    </row>
    <row r="43" spans="1:18">
      <c r="A43" s="220">
        <v>44196</v>
      </c>
      <c r="B43" s="56" t="s">
        <v>5</v>
      </c>
      <c r="C43" s="56" t="s">
        <v>9</v>
      </c>
      <c r="D43" s="56">
        <v>2019</v>
      </c>
      <c r="E43" s="56" t="s">
        <v>195</v>
      </c>
      <c r="F43" s="56" t="s">
        <v>113</v>
      </c>
      <c r="G43" s="56" t="s">
        <v>193</v>
      </c>
      <c r="H43" s="56">
        <v>2</v>
      </c>
      <c r="I43" s="56">
        <v>0</v>
      </c>
      <c r="J43" s="56">
        <v>0</v>
      </c>
      <c r="K43" s="56">
        <v>0</v>
      </c>
      <c r="L43" s="56">
        <v>0</v>
      </c>
      <c r="M43" s="56" t="s">
        <v>194</v>
      </c>
      <c r="N43" s="56">
        <v>19.059999999999999</v>
      </c>
      <c r="O43" s="56">
        <v>19.059999999999999</v>
      </c>
      <c r="P43" s="56">
        <v>5.72</v>
      </c>
      <c r="Q43" s="56">
        <v>5.72</v>
      </c>
      <c r="R43" s="56" t="s">
        <v>232</v>
      </c>
    </row>
    <row r="44" spans="1:18">
      <c r="A44" s="220">
        <v>44196</v>
      </c>
      <c r="B44" s="56" t="s">
        <v>5</v>
      </c>
      <c r="C44" s="56" t="s">
        <v>9</v>
      </c>
      <c r="D44" s="56">
        <v>2019</v>
      </c>
      <c r="E44" s="56" t="s">
        <v>116</v>
      </c>
      <c r="F44" s="56" t="s">
        <v>113</v>
      </c>
      <c r="G44" s="56" t="s">
        <v>193</v>
      </c>
      <c r="H44" s="56">
        <v>45</v>
      </c>
      <c r="I44" s="56">
        <v>3.78</v>
      </c>
      <c r="J44" s="56">
        <v>2.27</v>
      </c>
      <c r="K44" s="56">
        <v>0</v>
      </c>
      <c r="L44" s="56">
        <v>1.51</v>
      </c>
      <c r="M44" s="56" t="s">
        <v>194</v>
      </c>
      <c r="N44" s="56">
        <v>3.78</v>
      </c>
      <c r="O44" s="56">
        <v>5.76</v>
      </c>
      <c r="P44" s="56">
        <v>0.38</v>
      </c>
      <c r="Q44" s="56">
        <v>2.2999999999999998</v>
      </c>
      <c r="R44" s="56" t="s">
        <v>232</v>
      </c>
    </row>
    <row r="45" spans="1:18">
      <c r="A45" s="220">
        <v>44196</v>
      </c>
      <c r="B45" s="56" t="s">
        <v>5</v>
      </c>
      <c r="C45" s="56" t="s">
        <v>9</v>
      </c>
      <c r="D45" s="56">
        <v>2019</v>
      </c>
      <c r="E45" s="56" t="s">
        <v>117</v>
      </c>
      <c r="F45" s="56" t="s">
        <v>113</v>
      </c>
      <c r="G45" s="56" t="s">
        <v>193</v>
      </c>
      <c r="H45" s="56">
        <v>2</v>
      </c>
      <c r="I45" s="56">
        <v>225</v>
      </c>
      <c r="J45" s="56">
        <v>52.68</v>
      </c>
      <c r="K45" s="56">
        <v>0</v>
      </c>
      <c r="L45" s="56">
        <v>172.32</v>
      </c>
      <c r="M45" s="56" t="s">
        <v>194</v>
      </c>
      <c r="N45" s="56">
        <v>65</v>
      </c>
      <c r="O45" s="56">
        <v>160</v>
      </c>
      <c r="P45" s="56">
        <v>42.42</v>
      </c>
      <c r="Q45" s="56">
        <v>129.9</v>
      </c>
      <c r="R45" s="56" t="s">
        <v>232</v>
      </c>
    </row>
    <row r="46" spans="1:18">
      <c r="A46" s="220">
        <v>44196</v>
      </c>
      <c r="B46" s="56" t="s">
        <v>5</v>
      </c>
      <c r="C46" s="56" t="s">
        <v>9</v>
      </c>
      <c r="D46" s="56">
        <v>2019</v>
      </c>
      <c r="E46" s="56" t="s">
        <v>119</v>
      </c>
      <c r="F46" s="56" t="s">
        <v>118</v>
      </c>
      <c r="G46" s="56" t="s">
        <v>193</v>
      </c>
      <c r="H46" s="56">
        <v>4</v>
      </c>
      <c r="I46" s="56">
        <v>4800</v>
      </c>
      <c r="J46" s="56">
        <v>0</v>
      </c>
      <c r="K46" s="56">
        <v>1013.1</v>
      </c>
      <c r="L46" s="56">
        <v>1688.5</v>
      </c>
      <c r="M46" s="56" t="s">
        <v>194</v>
      </c>
      <c r="N46" s="56">
        <v>1200</v>
      </c>
      <c r="O46" s="56">
        <v>1200</v>
      </c>
      <c r="P46" s="56">
        <v>337.7</v>
      </c>
      <c r="Q46" s="56">
        <v>506.55</v>
      </c>
      <c r="R46" s="56" t="s">
        <v>232</v>
      </c>
    </row>
    <row r="47" spans="1:18">
      <c r="A47" s="220">
        <v>44196</v>
      </c>
      <c r="B47" s="56" t="s">
        <v>5</v>
      </c>
      <c r="C47" s="56" t="s">
        <v>9</v>
      </c>
      <c r="D47" s="56">
        <v>2019</v>
      </c>
      <c r="E47" s="56" t="s">
        <v>120</v>
      </c>
      <c r="F47" s="56" t="s">
        <v>118</v>
      </c>
      <c r="G47" s="56" t="s">
        <v>193</v>
      </c>
      <c r="H47" s="56">
        <v>472</v>
      </c>
      <c r="I47" s="56">
        <v>31110.84</v>
      </c>
      <c r="J47" s="56">
        <v>284.27999999999997</v>
      </c>
      <c r="K47" s="56">
        <v>2180.86</v>
      </c>
      <c r="L47" s="56">
        <v>23751.360000000001</v>
      </c>
      <c r="M47" s="56" t="s">
        <v>194</v>
      </c>
      <c r="N47" s="56">
        <v>17.100000000000001</v>
      </c>
      <c r="O47" s="56">
        <v>295</v>
      </c>
      <c r="P47" s="56">
        <v>0.92</v>
      </c>
      <c r="Q47" s="56">
        <v>135.08000000000001</v>
      </c>
      <c r="R47" s="56" t="s">
        <v>232</v>
      </c>
    </row>
    <row r="48" spans="1:18">
      <c r="A48" s="220">
        <v>44196</v>
      </c>
      <c r="B48" s="56" t="s">
        <v>5</v>
      </c>
      <c r="C48" s="56" t="s">
        <v>9</v>
      </c>
      <c r="D48" s="56">
        <v>2019</v>
      </c>
      <c r="E48" s="56" t="s">
        <v>122</v>
      </c>
      <c r="F48" s="56" t="s">
        <v>118</v>
      </c>
      <c r="G48" s="56" t="s">
        <v>193</v>
      </c>
      <c r="H48" s="56">
        <v>3</v>
      </c>
      <c r="I48" s="56">
        <v>90</v>
      </c>
      <c r="J48" s="56">
        <v>5.27</v>
      </c>
      <c r="K48" s="56">
        <v>0</v>
      </c>
      <c r="L48" s="56">
        <v>22.5</v>
      </c>
      <c r="M48" s="56" t="s">
        <v>194</v>
      </c>
      <c r="N48" s="56">
        <v>30</v>
      </c>
      <c r="O48" s="56">
        <v>30</v>
      </c>
      <c r="P48" s="56">
        <v>7.5</v>
      </c>
      <c r="Q48" s="56">
        <v>7.5</v>
      </c>
      <c r="R48" s="56" t="s">
        <v>232</v>
      </c>
    </row>
    <row r="49" spans="1:18">
      <c r="A49" s="220">
        <v>44196</v>
      </c>
      <c r="B49" s="56" t="s">
        <v>5</v>
      </c>
      <c r="C49" s="56" t="s">
        <v>9</v>
      </c>
      <c r="D49" s="56">
        <v>2019</v>
      </c>
      <c r="E49" s="56" t="s">
        <v>123</v>
      </c>
      <c r="F49" s="56" t="s">
        <v>118</v>
      </c>
      <c r="G49" s="56" t="s">
        <v>193</v>
      </c>
      <c r="H49" s="56">
        <v>669</v>
      </c>
      <c r="I49" s="56">
        <v>317853.92</v>
      </c>
      <c r="J49" s="56">
        <v>6020.1600000000199</v>
      </c>
      <c r="K49" s="56">
        <v>52499.510000000097</v>
      </c>
      <c r="L49" s="56">
        <v>189502.65</v>
      </c>
      <c r="M49" s="56" t="s">
        <v>194</v>
      </c>
      <c r="N49" s="56">
        <v>80</v>
      </c>
      <c r="O49" s="56">
        <v>1533</v>
      </c>
      <c r="P49" s="56">
        <v>5.57</v>
      </c>
      <c r="Q49" s="56">
        <v>506.55</v>
      </c>
      <c r="R49" s="56" t="s">
        <v>232</v>
      </c>
    </row>
    <row r="50" spans="1:18">
      <c r="A50" s="220">
        <v>44196</v>
      </c>
      <c r="B50" s="56" t="s">
        <v>5</v>
      </c>
      <c r="C50" s="56" t="s">
        <v>9</v>
      </c>
      <c r="D50" s="56">
        <v>2019</v>
      </c>
      <c r="E50" s="56" t="s">
        <v>124</v>
      </c>
      <c r="F50" s="56" t="s">
        <v>118</v>
      </c>
      <c r="G50" s="56" t="s">
        <v>193</v>
      </c>
      <c r="H50" s="56">
        <v>157</v>
      </c>
      <c r="I50" s="56">
        <v>48993.35</v>
      </c>
      <c r="J50" s="56">
        <v>5803.44</v>
      </c>
      <c r="K50" s="56">
        <v>4537.1000000000004</v>
      </c>
      <c r="L50" s="56">
        <v>27468.799999999999</v>
      </c>
      <c r="M50" s="56" t="s">
        <v>194</v>
      </c>
      <c r="N50" s="56">
        <v>130</v>
      </c>
      <c r="O50" s="56">
        <v>759</v>
      </c>
      <c r="P50" s="56">
        <v>28.67</v>
      </c>
      <c r="Q50" s="56">
        <v>202.62</v>
      </c>
      <c r="R50" s="56" t="s">
        <v>232</v>
      </c>
    </row>
    <row r="51" spans="1:18">
      <c r="A51" s="220">
        <v>44196</v>
      </c>
      <c r="B51" s="56" t="s">
        <v>5</v>
      </c>
      <c r="C51" s="56" t="s">
        <v>9</v>
      </c>
      <c r="D51" s="56">
        <v>2019</v>
      </c>
      <c r="E51" s="56" t="s">
        <v>125</v>
      </c>
      <c r="F51" s="56" t="s">
        <v>118</v>
      </c>
      <c r="G51" s="56" t="s">
        <v>193</v>
      </c>
      <c r="H51" s="56">
        <v>4</v>
      </c>
      <c r="I51" s="56">
        <v>544</v>
      </c>
      <c r="J51" s="56">
        <v>8.3000000000000007</v>
      </c>
      <c r="K51" s="56">
        <v>0</v>
      </c>
      <c r="L51" s="56">
        <v>295</v>
      </c>
      <c r="M51" s="56" t="s">
        <v>194</v>
      </c>
      <c r="N51" s="56">
        <v>109</v>
      </c>
      <c r="O51" s="56">
        <v>145</v>
      </c>
      <c r="P51" s="56">
        <v>9.4</v>
      </c>
      <c r="Q51" s="56">
        <v>142.80000000000001</v>
      </c>
      <c r="R51" s="56" t="s">
        <v>232</v>
      </c>
    </row>
    <row r="52" spans="1:18">
      <c r="A52" s="220">
        <v>44196</v>
      </c>
      <c r="B52" s="56" t="s">
        <v>5</v>
      </c>
      <c r="C52" s="56" t="s">
        <v>9</v>
      </c>
      <c r="D52" s="56">
        <v>2019</v>
      </c>
      <c r="E52" s="56" t="s">
        <v>127</v>
      </c>
      <c r="F52" s="56" t="s">
        <v>126</v>
      </c>
      <c r="G52" s="56" t="s">
        <v>193</v>
      </c>
      <c r="H52" s="56">
        <v>81144</v>
      </c>
      <c r="I52" s="56">
        <v>227203.519999985</v>
      </c>
      <c r="J52" s="56">
        <v>127655.17000001601</v>
      </c>
      <c r="K52" s="56">
        <v>220.17</v>
      </c>
      <c r="L52" s="56">
        <v>98622.859999999302</v>
      </c>
      <c r="M52" s="56" t="s">
        <v>194</v>
      </c>
      <c r="N52" s="56">
        <v>0.51</v>
      </c>
      <c r="O52" s="56">
        <v>540</v>
      </c>
      <c r="P52" s="56">
        <v>0.04</v>
      </c>
      <c r="Q52" s="56">
        <v>378</v>
      </c>
      <c r="R52" s="56" t="s">
        <v>232</v>
      </c>
    </row>
    <row r="53" spans="1:18">
      <c r="A53" s="220">
        <v>44196</v>
      </c>
      <c r="B53" s="56" t="s">
        <v>5</v>
      </c>
      <c r="C53" s="56" t="s">
        <v>9</v>
      </c>
      <c r="D53" s="56">
        <v>2019</v>
      </c>
      <c r="E53" s="56" t="s">
        <v>129</v>
      </c>
      <c r="F53" s="56" t="s">
        <v>128</v>
      </c>
      <c r="G53" s="56" t="s">
        <v>193</v>
      </c>
      <c r="H53" s="56">
        <v>65</v>
      </c>
      <c r="I53" s="56">
        <v>2097.5</v>
      </c>
      <c r="J53" s="56">
        <v>0</v>
      </c>
      <c r="K53" s="56">
        <v>0</v>
      </c>
      <c r="L53" s="56">
        <v>1756</v>
      </c>
      <c r="M53" s="56" t="s">
        <v>194</v>
      </c>
      <c r="N53" s="56">
        <v>25</v>
      </c>
      <c r="O53" s="56">
        <v>85</v>
      </c>
      <c r="P53" s="56">
        <v>5</v>
      </c>
      <c r="Q53" s="56">
        <v>60</v>
      </c>
      <c r="R53" s="56" t="s">
        <v>232</v>
      </c>
    </row>
    <row r="54" spans="1:18">
      <c r="A54" s="220">
        <v>44196</v>
      </c>
      <c r="B54" s="56" t="s">
        <v>5</v>
      </c>
      <c r="C54" s="56" t="s">
        <v>9</v>
      </c>
      <c r="D54" s="56">
        <v>2019</v>
      </c>
      <c r="E54" s="56" t="s">
        <v>131</v>
      </c>
      <c r="F54" s="56" t="s">
        <v>130</v>
      </c>
      <c r="G54" s="56" t="s">
        <v>193</v>
      </c>
      <c r="H54" s="56">
        <v>3041</v>
      </c>
      <c r="I54" s="56">
        <v>95149.890000000203</v>
      </c>
      <c r="J54" s="56">
        <v>56178.360000001201</v>
      </c>
      <c r="K54" s="56">
        <v>320.49</v>
      </c>
      <c r="L54" s="56">
        <v>36060.579999999798</v>
      </c>
      <c r="M54" s="56" t="s">
        <v>194</v>
      </c>
      <c r="N54" s="56">
        <v>1</v>
      </c>
      <c r="O54" s="56">
        <v>547.35</v>
      </c>
      <c r="P54" s="56">
        <v>0.32800000000000001</v>
      </c>
      <c r="Q54" s="56">
        <v>200.64</v>
      </c>
      <c r="R54" s="56" t="s">
        <v>232</v>
      </c>
    </row>
    <row r="55" spans="1:18">
      <c r="A55" s="220">
        <v>44196</v>
      </c>
      <c r="B55" s="56" t="s">
        <v>5</v>
      </c>
      <c r="C55" s="56" t="s">
        <v>9</v>
      </c>
      <c r="D55" s="56">
        <v>2019</v>
      </c>
      <c r="E55" s="56" t="s">
        <v>132</v>
      </c>
      <c r="F55" s="56" t="s">
        <v>130</v>
      </c>
      <c r="G55" s="56" t="s">
        <v>193</v>
      </c>
      <c r="H55" s="56">
        <v>3634</v>
      </c>
      <c r="I55" s="56">
        <v>139353.76</v>
      </c>
      <c r="J55" s="56">
        <v>82008.259999999398</v>
      </c>
      <c r="K55" s="56">
        <v>2246.31</v>
      </c>
      <c r="L55" s="56">
        <v>35942.280000000297</v>
      </c>
      <c r="M55" s="56" t="s">
        <v>194</v>
      </c>
      <c r="N55" s="56">
        <v>0.75</v>
      </c>
      <c r="O55" s="56">
        <v>571</v>
      </c>
      <c r="P55" s="56">
        <v>0.04</v>
      </c>
      <c r="Q55" s="56">
        <v>377.5</v>
      </c>
      <c r="R55" s="56" t="s">
        <v>232</v>
      </c>
    </row>
    <row r="56" spans="1:18">
      <c r="A56" s="220">
        <v>44196</v>
      </c>
      <c r="B56" s="56" t="s">
        <v>5</v>
      </c>
      <c r="C56" s="56" t="s">
        <v>9</v>
      </c>
      <c r="D56" s="56">
        <v>2019</v>
      </c>
      <c r="E56" s="56" t="s">
        <v>133</v>
      </c>
      <c r="F56" s="56" t="s">
        <v>130</v>
      </c>
      <c r="G56" s="56" t="s">
        <v>193</v>
      </c>
      <c r="H56" s="56">
        <v>5038</v>
      </c>
      <c r="I56" s="56">
        <v>102589.83999999901</v>
      </c>
      <c r="J56" s="56">
        <v>62536.669999999503</v>
      </c>
      <c r="K56" s="56">
        <v>0.76</v>
      </c>
      <c r="L56" s="56">
        <v>39994.999999999898</v>
      </c>
      <c r="M56" s="56" t="s">
        <v>194</v>
      </c>
      <c r="N56" s="56">
        <v>0.27</v>
      </c>
      <c r="O56" s="56">
        <v>224.37</v>
      </c>
      <c r="P56" s="56">
        <v>0.107988980716253</v>
      </c>
      <c r="Q56" s="56">
        <v>89.75</v>
      </c>
      <c r="R56" s="56" t="s">
        <v>232</v>
      </c>
    </row>
    <row r="57" spans="1:18">
      <c r="A57" s="220">
        <v>44196</v>
      </c>
      <c r="B57" s="56" t="s">
        <v>5</v>
      </c>
      <c r="C57" s="56" t="s">
        <v>9</v>
      </c>
      <c r="D57" s="56">
        <v>2019</v>
      </c>
      <c r="E57" s="56" t="s">
        <v>134</v>
      </c>
      <c r="F57" s="56" t="s">
        <v>130</v>
      </c>
      <c r="G57" s="56" t="s">
        <v>193</v>
      </c>
      <c r="H57" s="56">
        <v>8101</v>
      </c>
      <c r="I57" s="56">
        <v>145345.5</v>
      </c>
      <c r="J57" s="56">
        <v>81356.929999995002</v>
      </c>
      <c r="K57" s="56">
        <v>2142.8200000000102</v>
      </c>
      <c r="L57" s="56">
        <v>53709.889999994499</v>
      </c>
      <c r="M57" s="56" t="s">
        <v>194</v>
      </c>
      <c r="N57" s="56">
        <v>1.35</v>
      </c>
      <c r="O57" s="56">
        <v>464.51</v>
      </c>
      <c r="P57" s="56">
        <v>5.0000000000000001E-3</v>
      </c>
      <c r="Q57" s="56">
        <v>111.24</v>
      </c>
      <c r="R57" s="56" t="s">
        <v>232</v>
      </c>
    </row>
    <row r="58" spans="1:18">
      <c r="A58" s="220">
        <v>44196</v>
      </c>
      <c r="B58" s="56" t="s">
        <v>5</v>
      </c>
      <c r="C58" s="56" t="s">
        <v>9</v>
      </c>
      <c r="D58" s="56">
        <v>2019</v>
      </c>
      <c r="E58" s="56" t="s">
        <v>135</v>
      </c>
      <c r="F58" s="56" t="s">
        <v>130</v>
      </c>
      <c r="G58" s="56" t="s">
        <v>193</v>
      </c>
      <c r="H58" s="56">
        <v>20224</v>
      </c>
      <c r="I58" s="56">
        <v>401770.13999999402</v>
      </c>
      <c r="J58" s="56">
        <v>230320.82000000199</v>
      </c>
      <c r="K58" s="56">
        <v>1626.46</v>
      </c>
      <c r="L58" s="56">
        <v>148073.07999999501</v>
      </c>
      <c r="M58" s="56" t="s">
        <v>194</v>
      </c>
      <c r="N58" s="56">
        <v>1.35</v>
      </c>
      <c r="O58" s="56">
        <v>207</v>
      </c>
      <c r="P58" s="56">
        <v>0.1</v>
      </c>
      <c r="Q58" s="56">
        <v>110</v>
      </c>
      <c r="R58" s="56" t="s">
        <v>232</v>
      </c>
    </row>
    <row r="59" spans="1:18">
      <c r="A59" s="220">
        <v>44196</v>
      </c>
      <c r="B59" s="56" t="s">
        <v>5</v>
      </c>
      <c r="C59" s="56" t="s">
        <v>9</v>
      </c>
      <c r="D59" s="56">
        <v>2020</v>
      </c>
      <c r="E59" s="56" t="s">
        <v>73</v>
      </c>
      <c r="F59" s="56" t="s">
        <v>72</v>
      </c>
      <c r="G59" s="56" t="s">
        <v>193</v>
      </c>
      <c r="H59" s="56">
        <v>1067</v>
      </c>
      <c r="I59" s="56">
        <v>23882.519999999498</v>
      </c>
      <c r="J59" s="56">
        <v>16635.87</v>
      </c>
      <c r="K59" s="56">
        <v>45.96</v>
      </c>
      <c r="L59" s="56">
        <v>7174.8900000000804</v>
      </c>
      <c r="M59" s="56" t="s">
        <v>194</v>
      </c>
      <c r="N59" s="56">
        <v>14.46</v>
      </c>
      <c r="O59" s="56">
        <v>86.76</v>
      </c>
      <c r="P59" s="56">
        <v>1.45</v>
      </c>
      <c r="Q59" s="56">
        <v>45.96</v>
      </c>
      <c r="R59" s="56" t="s">
        <v>232</v>
      </c>
    </row>
    <row r="60" spans="1:18">
      <c r="A60" s="220">
        <v>44196</v>
      </c>
      <c r="B60" s="56" t="s">
        <v>5</v>
      </c>
      <c r="C60" s="56" t="s">
        <v>9</v>
      </c>
      <c r="D60" s="56">
        <v>2020</v>
      </c>
      <c r="E60" s="56" t="s">
        <v>74</v>
      </c>
      <c r="F60" s="56" t="s">
        <v>72</v>
      </c>
      <c r="G60" s="56" t="s">
        <v>193</v>
      </c>
      <c r="H60" s="56">
        <v>2644</v>
      </c>
      <c r="I60" s="56">
        <v>95861.469999999696</v>
      </c>
      <c r="J60" s="56">
        <v>42043.800000000199</v>
      </c>
      <c r="K60" s="56">
        <v>132221.89000000001</v>
      </c>
      <c r="L60" s="56">
        <v>-145508.34</v>
      </c>
      <c r="M60" s="56" t="s">
        <v>194</v>
      </c>
      <c r="N60" s="56">
        <v>0.51</v>
      </c>
      <c r="O60" s="56">
        <v>2831.83</v>
      </c>
      <c r="P60" s="56">
        <v>3.69</v>
      </c>
      <c r="Q60" s="56">
        <v>426.37</v>
      </c>
      <c r="R60" s="56" t="s">
        <v>232</v>
      </c>
    </row>
    <row r="61" spans="1:18">
      <c r="A61" s="220">
        <v>44196</v>
      </c>
      <c r="B61" s="56" t="s">
        <v>5</v>
      </c>
      <c r="C61" s="56" t="s">
        <v>9</v>
      </c>
      <c r="D61" s="56">
        <v>2020</v>
      </c>
      <c r="E61" s="56" t="s">
        <v>75</v>
      </c>
      <c r="F61" s="56" t="s">
        <v>72</v>
      </c>
      <c r="G61" s="56" t="s">
        <v>193</v>
      </c>
      <c r="H61" s="56">
        <v>2148</v>
      </c>
      <c r="I61" s="56">
        <v>97236.759999999893</v>
      </c>
      <c r="J61" s="56">
        <v>46814.500000000196</v>
      </c>
      <c r="K61" s="56">
        <v>1602.43</v>
      </c>
      <c r="L61" s="56">
        <v>38630.410000000003</v>
      </c>
      <c r="M61" s="56" t="s">
        <v>194</v>
      </c>
      <c r="N61" s="56">
        <v>0.38</v>
      </c>
      <c r="O61" s="56">
        <v>6500</v>
      </c>
      <c r="P61" s="56">
        <v>0.02</v>
      </c>
      <c r="Q61" s="56">
        <v>3499.25</v>
      </c>
      <c r="R61" s="56" t="s">
        <v>232</v>
      </c>
    </row>
    <row r="62" spans="1:18">
      <c r="A62" s="220">
        <v>44196</v>
      </c>
      <c r="B62" s="56" t="s">
        <v>5</v>
      </c>
      <c r="C62" s="56" t="s">
        <v>9</v>
      </c>
      <c r="D62" s="56">
        <v>2020</v>
      </c>
      <c r="E62" s="56" t="s">
        <v>76</v>
      </c>
      <c r="F62" s="56" t="s">
        <v>72</v>
      </c>
      <c r="G62" s="56" t="s">
        <v>193</v>
      </c>
      <c r="H62" s="56">
        <v>1</v>
      </c>
      <c r="I62" s="56">
        <v>180</v>
      </c>
      <c r="J62" s="56">
        <v>0</v>
      </c>
      <c r="K62" s="56">
        <v>0</v>
      </c>
      <c r="L62" s="56">
        <v>180</v>
      </c>
      <c r="M62" s="56" t="s">
        <v>194</v>
      </c>
      <c r="N62" s="56">
        <v>180</v>
      </c>
      <c r="O62" s="56">
        <v>180</v>
      </c>
      <c r="P62" s="56">
        <v>180</v>
      </c>
      <c r="Q62" s="56">
        <v>180</v>
      </c>
      <c r="R62" s="56" t="s">
        <v>232</v>
      </c>
    </row>
    <row r="63" spans="1:18">
      <c r="A63" s="220">
        <v>44196</v>
      </c>
      <c r="B63" s="56" t="s">
        <v>5</v>
      </c>
      <c r="C63" s="56" t="s">
        <v>9</v>
      </c>
      <c r="D63" s="56">
        <v>2020</v>
      </c>
      <c r="E63" s="56" t="s">
        <v>77</v>
      </c>
      <c r="F63" s="56" t="s">
        <v>72</v>
      </c>
      <c r="G63" s="56" t="s">
        <v>193</v>
      </c>
      <c r="H63" s="56">
        <v>608</v>
      </c>
      <c r="I63" s="56">
        <v>33411.01</v>
      </c>
      <c r="J63" s="56">
        <v>0</v>
      </c>
      <c r="K63" s="56">
        <v>1098</v>
      </c>
      <c r="L63" s="56">
        <v>30332.01</v>
      </c>
      <c r="M63" s="56" t="s">
        <v>194</v>
      </c>
      <c r="N63" s="56">
        <v>8.01</v>
      </c>
      <c r="O63" s="56">
        <v>110</v>
      </c>
      <c r="P63" s="56">
        <v>8</v>
      </c>
      <c r="Q63" s="56">
        <v>100</v>
      </c>
      <c r="R63" s="56" t="s">
        <v>232</v>
      </c>
    </row>
    <row r="64" spans="1:18">
      <c r="A64" s="220">
        <v>44196</v>
      </c>
      <c r="B64" s="56" t="s">
        <v>5</v>
      </c>
      <c r="C64" s="56" t="s">
        <v>9</v>
      </c>
      <c r="D64" s="56">
        <v>2020</v>
      </c>
      <c r="E64" s="56" t="s">
        <v>78</v>
      </c>
      <c r="F64" s="56" t="s">
        <v>72</v>
      </c>
      <c r="G64" s="56" t="s">
        <v>193</v>
      </c>
      <c r="H64" s="56">
        <v>14</v>
      </c>
      <c r="I64" s="56">
        <v>9560</v>
      </c>
      <c r="J64" s="56">
        <v>1260</v>
      </c>
      <c r="K64" s="56">
        <v>1400</v>
      </c>
      <c r="L64" s="56">
        <v>3500</v>
      </c>
      <c r="M64" s="56" t="s">
        <v>194</v>
      </c>
      <c r="N64" s="56">
        <v>1395</v>
      </c>
      <c r="O64" s="56">
        <v>1990</v>
      </c>
      <c r="P64" s="56">
        <v>350</v>
      </c>
      <c r="Q64" s="56">
        <v>700</v>
      </c>
      <c r="R64" s="56" t="s">
        <v>232</v>
      </c>
    </row>
    <row r="65" spans="1:18">
      <c r="A65" s="220">
        <v>44196</v>
      </c>
      <c r="B65" s="56" t="s">
        <v>5</v>
      </c>
      <c r="C65" s="56" t="s">
        <v>9</v>
      </c>
      <c r="D65" s="56">
        <v>2020</v>
      </c>
      <c r="E65" s="56" t="s">
        <v>80</v>
      </c>
      <c r="F65" s="56" t="s">
        <v>79</v>
      </c>
      <c r="G65" s="56" t="s">
        <v>193</v>
      </c>
      <c r="H65" s="56">
        <v>24</v>
      </c>
      <c r="I65" s="56">
        <v>1320</v>
      </c>
      <c r="J65" s="56">
        <v>168</v>
      </c>
      <c r="K65" s="56">
        <v>200</v>
      </c>
      <c r="L65" s="56">
        <v>480</v>
      </c>
      <c r="M65" s="56" t="s">
        <v>194</v>
      </c>
      <c r="N65" s="56">
        <v>50</v>
      </c>
      <c r="O65" s="56">
        <v>60</v>
      </c>
      <c r="P65" s="56">
        <v>20</v>
      </c>
      <c r="Q65" s="56">
        <v>20</v>
      </c>
      <c r="R65" s="56" t="s">
        <v>232</v>
      </c>
    </row>
    <row r="66" spans="1:18">
      <c r="A66" s="220">
        <v>44196</v>
      </c>
      <c r="B66" s="56" t="s">
        <v>5</v>
      </c>
      <c r="C66" s="56" t="s">
        <v>9</v>
      </c>
      <c r="D66" s="56">
        <v>2020</v>
      </c>
      <c r="E66" s="56" t="s">
        <v>82</v>
      </c>
      <c r="F66" s="56" t="s">
        <v>81</v>
      </c>
      <c r="G66" s="56" t="s">
        <v>193</v>
      </c>
      <c r="H66" s="56">
        <v>120</v>
      </c>
      <c r="I66" s="56">
        <v>8727.0799999999908</v>
      </c>
      <c r="J66" s="56">
        <v>4775.5899999999901</v>
      </c>
      <c r="K66" s="56">
        <v>50</v>
      </c>
      <c r="L66" s="56">
        <v>2581.4899999999998</v>
      </c>
      <c r="M66" s="56" t="s">
        <v>194</v>
      </c>
      <c r="N66" s="56">
        <v>23</v>
      </c>
      <c r="O66" s="56">
        <v>400</v>
      </c>
      <c r="P66" s="56">
        <v>6.9</v>
      </c>
      <c r="Q66" s="56">
        <v>50</v>
      </c>
      <c r="R66" s="56" t="s">
        <v>232</v>
      </c>
    </row>
    <row r="67" spans="1:18">
      <c r="A67" s="220">
        <v>44196</v>
      </c>
      <c r="B67" s="56" t="s">
        <v>5</v>
      </c>
      <c r="C67" s="56" t="s">
        <v>9</v>
      </c>
      <c r="D67" s="56">
        <v>2020</v>
      </c>
      <c r="E67" s="56" t="s">
        <v>83</v>
      </c>
      <c r="F67" s="56" t="s">
        <v>81</v>
      </c>
      <c r="G67" s="56" t="s">
        <v>193</v>
      </c>
      <c r="H67" s="56">
        <v>49</v>
      </c>
      <c r="I67" s="56">
        <v>1900</v>
      </c>
      <c r="J67" s="56">
        <v>231</v>
      </c>
      <c r="K67" s="56">
        <v>0</v>
      </c>
      <c r="L67" s="56">
        <v>1669</v>
      </c>
      <c r="M67" s="56" t="s">
        <v>194</v>
      </c>
      <c r="N67" s="56">
        <v>20</v>
      </c>
      <c r="O67" s="56">
        <v>60</v>
      </c>
      <c r="P67" s="56">
        <v>13</v>
      </c>
      <c r="Q67" s="56">
        <v>53</v>
      </c>
      <c r="R67" s="56" t="s">
        <v>232</v>
      </c>
    </row>
    <row r="68" spans="1:18">
      <c r="A68" s="220">
        <v>44196</v>
      </c>
      <c r="B68" s="56" t="s">
        <v>5</v>
      </c>
      <c r="C68" s="56" t="s">
        <v>9</v>
      </c>
      <c r="D68" s="56">
        <v>2020</v>
      </c>
      <c r="E68" s="56" t="s">
        <v>84</v>
      </c>
      <c r="F68" s="56" t="s">
        <v>81</v>
      </c>
      <c r="G68" s="56" t="s">
        <v>193</v>
      </c>
      <c r="H68" s="56">
        <v>99</v>
      </c>
      <c r="I68" s="56">
        <v>5642</v>
      </c>
      <c r="J68" s="56">
        <v>693</v>
      </c>
      <c r="K68" s="56">
        <v>749</v>
      </c>
      <c r="L68" s="56">
        <v>2020</v>
      </c>
      <c r="M68" s="56" t="s">
        <v>194</v>
      </c>
      <c r="N68" s="56">
        <v>30</v>
      </c>
      <c r="O68" s="56">
        <v>90</v>
      </c>
      <c r="P68" s="56">
        <v>20</v>
      </c>
      <c r="Q68" s="56">
        <v>40</v>
      </c>
      <c r="R68" s="56" t="s">
        <v>232</v>
      </c>
    </row>
    <row r="69" spans="1:18">
      <c r="A69" s="220">
        <v>44196</v>
      </c>
      <c r="B69" s="56" t="s">
        <v>5</v>
      </c>
      <c r="C69" s="56" t="s">
        <v>9</v>
      </c>
      <c r="D69" s="56">
        <v>2020</v>
      </c>
      <c r="E69" s="56" t="s">
        <v>85</v>
      </c>
      <c r="F69" s="56" t="s">
        <v>81</v>
      </c>
      <c r="G69" s="56" t="s">
        <v>193</v>
      </c>
      <c r="H69" s="56">
        <v>26</v>
      </c>
      <c r="I69" s="56">
        <v>5280</v>
      </c>
      <c r="J69" s="56">
        <v>1008</v>
      </c>
      <c r="K69" s="56">
        <v>0</v>
      </c>
      <c r="L69" s="56">
        <v>4272</v>
      </c>
      <c r="M69" s="56" t="s">
        <v>194</v>
      </c>
      <c r="N69" s="56">
        <v>440</v>
      </c>
      <c r="O69" s="56">
        <v>440</v>
      </c>
      <c r="P69" s="56">
        <v>356</v>
      </c>
      <c r="Q69" s="56">
        <v>356</v>
      </c>
      <c r="R69" s="56" t="s">
        <v>232</v>
      </c>
    </row>
    <row r="70" spans="1:18">
      <c r="A70" s="220">
        <v>44196</v>
      </c>
      <c r="B70" s="56" t="s">
        <v>5</v>
      </c>
      <c r="C70" s="56" t="s">
        <v>9</v>
      </c>
      <c r="D70" s="56">
        <v>2020</v>
      </c>
      <c r="E70" s="56" t="s">
        <v>86</v>
      </c>
      <c r="F70" s="56" t="s">
        <v>81</v>
      </c>
      <c r="G70" s="56" t="s">
        <v>193</v>
      </c>
      <c r="H70" s="56">
        <v>10</v>
      </c>
      <c r="I70" s="56">
        <v>4400</v>
      </c>
      <c r="J70" s="56">
        <v>840</v>
      </c>
      <c r="K70" s="56">
        <v>720</v>
      </c>
      <c r="L70" s="56">
        <v>2028</v>
      </c>
      <c r="M70" s="56" t="s">
        <v>194</v>
      </c>
      <c r="N70" s="56">
        <v>440</v>
      </c>
      <c r="O70" s="56">
        <v>440</v>
      </c>
      <c r="P70" s="56">
        <v>116</v>
      </c>
      <c r="Q70" s="56">
        <v>240</v>
      </c>
      <c r="R70" s="56" t="s">
        <v>232</v>
      </c>
    </row>
    <row r="71" spans="1:18">
      <c r="A71" s="220">
        <v>44196</v>
      </c>
      <c r="B71" s="56" t="s">
        <v>5</v>
      </c>
      <c r="C71" s="56" t="s">
        <v>9</v>
      </c>
      <c r="D71" s="56">
        <v>2020</v>
      </c>
      <c r="E71" s="56" t="s">
        <v>87</v>
      </c>
      <c r="F71" s="56" t="s">
        <v>81</v>
      </c>
      <c r="G71" s="56" t="s">
        <v>193</v>
      </c>
      <c r="H71" s="56">
        <v>8</v>
      </c>
      <c r="I71" s="56">
        <v>3500</v>
      </c>
      <c r="J71" s="56">
        <v>643.65</v>
      </c>
      <c r="K71" s="56">
        <v>0</v>
      </c>
      <c r="L71" s="56">
        <v>2329.35</v>
      </c>
      <c r="M71" s="56" t="s">
        <v>194</v>
      </c>
      <c r="N71" s="56">
        <v>60</v>
      </c>
      <c r="O71" s="56">
        <v>1635</v>
      </c>
      <c r="P71" s="56">
        <v>43</v>
      </c>
      <c r="Q71" s="56">
        <v>922.35</v>
      </c>
      <c r="R71" s="56" t="s">
        <v>232</v>
      </c>
    </row>
    <row r="72" spans="1:18">
      <c r="A72" s="220">
        <v>44196</v>
      </c>
      <c r="B72" s="56" t="s">
        <v>5</v>
      </c>
      <c r="C72" s="56" t="s">
        <v>9</v>
      </c>
      <c r="D72" s="56">
        <v>2020</v>
      </c>
      <c r="E72" s="56" t="s">
        <v>88</v>
      </c>
      <c r="F72" s="56" t="s">
        <v>81</v>
      </c>
      <c r="G72" s="56" t="s">
        <v>193</v>
      </c>
      <c r="H72" s="56">
        <v>100</v>
      </c>
      <c r="I72" s="56">
        <v>76056</v>
      </c>
      <c r="J72" s="56">
        <v>4063.5</v>
      </c>
      <c r="K72" s="56">
        <v>8890</v>
      </c>
      <c r="L72" s="56">
        <v>30649</v>
      </c>
      <c r="M72" s="56" t="s">
        <v>194</v>
      </c>
      <c r="N72" s="56">
        <v>210</v>
      </c>
      <c r="O72" s="56">
        <v>1572</v>
      </c>
      <c r="P72" s="56">
        <v>5</v>
      </c>
      <c r="Q72" s="56">
        <v>600</v>
      </c>
      <c r="R72" s="56" t="s">
        <v>232</v>
      </c>
    </row>
    <row r="73" spans="1:18">
      <c r="A73" s="220">
        <v>44196</v>
      </c>
      <c r="B73" s="56" t="s">
        <v>5</v>
      </c>
      <c r="C73" s="56" t="s">
        <v>9</v>
      </c>
      <c r="D73" s="56">
        <v>2020</v>
      </c>
      <c r="E73" s="56" t="s">
        <v>89</v>
      </c>
      <c r="F73" s="56" t="s">
        <v>81</v>
      </c>
      <c r="G73" s="56" t="s">
        <v>193</v>
      </c>
      <c r="H73" s="56">
        <v>37</v>
      </c>
      <c r="I73" s="56">
        <v>6475</v>
      </c>
      <c r="J73" s="56">
        <v>2349</v>
      </c>
      <c r="K73" s="56">
        <v>0</v>
      </c>
      <c r="L73" s="56">
        <v>4126</v>
      </c>
      <c r="M73" s="56" t="s">
        <v>194</v>
      </c>
      <c r="N73" s="56">
        <v>175</v>
      </c>
      <c r="O73" s="56">
        <v>175</v>
      </c>
      <c r="P73" s="56">
        <v>94</v>
      </c>
      <c r="Q73" s="56">
        <v>112</v>
      </c>
      <c r="R73" s="56" t="s">
        <v>232</v>
      </c>
    </row>
    <row r="74" spans="1:18">
      <c r="A74" s="220">
        <v>44196</v>
      </c>
      <c r="B74" s="56" t="s">
        <v>5</v>
      </c>
      <c r="C74" s="56" t="s">
        <v>9</v>
      </c>
      <c r="D74" s="56">
        <v>2020</v>
      </c>
      <c r="E74" s="56" t="s">
        <v>90</v>
      </c>
      <c r="F74" s="56" t="s">
        <v>81</v>
      </c>
      <c r="G74" s="56" t="s">
        <v>193</v>
      </c>
      <c r="H74" s="56">
        <v>49</v>
      </c>
      <c r="I74" s="56">
        <v>7875</v>
      </c>
      <c r="J74" s="56">
        <v>2835</v>
      </c>
      <c r="K74" s="56">
        <v>0</v>
      </c>
      <c r="L74" s="56">
        <v>5040</v>
      </c>
      <c r="M74" s="56" t="s">
        <v>194</v>
      </c>
      <c r="N74" s="56">
        <v>175</v>
      </c>
      <c r="O74" s="56">
        <v>175</v>
      </c>
      <c r="P74" s="56">
        <v>112</v>
      </c>
      <c r="Q74" s="56">
        <v>112</v>
      </c>
      <c r="R74" s="56" t="s">
        <v>232</v>
      </c>
    </row>
    <row r="75" spans="1:18">
      <c r="A75" s="220">
        <v>44196</v>
      </c>
      <c r="B75" s="56" t="s">
        <v>5</v>
      </c>
      <c r="C75" s="56" t="s">
        <v>9</v>
      </c>
      <c r="D75" s="56">
        <v>2020</v>
      </c>
      <c r="E75" s="56" t="s">
        <v>91</v>
      </c>
      <c r="F75" s="56" t="s">
        <v>81</v>
      </c>
      <c r="G75" s="56" t="s">
        <v>193</v>
      </c>
      <c r="H75" s="56">
        <v>13</v>
      </c>
      <c r="I75" s="56">
        <v>4926</v>
      </c>
      <c r="J75" s="56">
        <v>910</v>
      </c>
      <c r="K75" s="56">
        <v>400</v>
      </c>
      <c r="L75" s="56">
        <v>1300</v>
      </c>
      <c r="M75" s="56" t="s">
        <v>194</v>
      </c>
      <c r="N75" s="56">
        <v>300</v>
      </c>
      <c r="O75" s="56">
        <v>450</v>
      </c>
      <c r="P75" s="56">
        <v>100</v>
      </c>
      <c r="Q75" s="56">
        <v>100</v>
      </c>
      <c r="R75" s="56" t="s">
        <v>232</v>
      </c>
    </row>
    <row r="76" spans="1:18">
      <c r="A76" s="220">
        <v>44196</v>
      </c>
      <c r="B76" s="56" t="s">
        <v>5</v>
      </c>
      <c r="C76" s="56" t="s">
        <v>9</v>
      </c>
      <c r="D76" s="56">
        <v>2020</v>
      </c>
      <c r="E76" s="56" t="s">
        <v>92</v>
      </c>
      <c r="F76" s="56" t="s">
        <v>81</v>
      </c>
      <c r="G76" s="56" t="s">
        <v>193</v>
      </c>
      <c r="H76" s="56">
        <v>277</v>
      </c>
      <c r="I76" s="56">
        <v>106524.8</v>
      </c>
      <c r="J76" s="56">
        <v>27783.68</v>
      </c>
      <c r="K76" s="56">
        <v>12835.5</v>
      </c>
      <c r="L76" s="56">
        <v>48128.41</v>
      </c>
      <c r="M76" s="56" t="s">
        <v>194</v>
      </c>
      <c r="N76" s="56">
        <v>10.75</v>
      </c>
      <c r="O76" s="56">
        <v>1100</v>
      </c>
      <c r="P76" s="56">
        <v>3.22</v>
      </c>
      <c r="Q76" s="56">
        <v>438.75</v>
      </c>
      <c r="R76" s="56" t="s">
        <v>232</v>
      </c>
    </row>
    <row r="77" spans="1:18">
      <c r="A77" s="220">
        <v>44196</v>
      </c>
      <c r="B77" s="56" t="s">
        <v>5</v>
      </c>
      <c r="C77" s="56" t="s">
        <v>9</v>
      </c>
      <c r="D77" s="56">
        <v>2020</v>
      </c>
      <c r="E77" s="56" t="s">
        <v>93</v>
      </c>
      <c r="F77" s="56" t="s">
        <v>81</v>
      </c>
      <c r="G77" s="56" t="s">
        <v>193</v>
      </c>
      <c r="H77" s="56">
        <v>4</v>
      </c>
      <c r="I77" s="56">
        <v>3078</v>
      </c>
      <c r="J77" s="56">
        <v>0</v>
      </c>
      <c r="K77" s="56">
        <v>0</v>
      </c>
      <c r="L77" s="56">
        <v>1230</v>
      </c>
      <c r="M77" s="56" t="s">
        <v>194</v>
      </c>
      <c r="N77" s="56">
        <v>75</v>
      </c>
      <c r="O77" s="56">
        <v>1785</v>
      </c>
      <c r="P77" s="56">
        <v>75</v>
      </c>
      <c r="Q77" s="56">
        <v>385</v>
      </c>
      <c r="R77" s="56" t="s">
        <v>232</v>
      </c>
    </row>
    <row r="78" spans="1:18">
      <c r="A78" s="220">
        <v>44196</v>
      </c>
      <c r="B78" s="56" t="s">
        <v>5</v>
      </c>
      <c r="C78" s="56" t="s">
        <v>9</v>
      </c>
      <c r="D78" s="56">
        <v>2020</v>
      </c>
      <c r="E78" s="56" t="s">
        <v>94</v>
      </c>
      <c r="F78" s="56" t="s">
        <v>81</v>
      </c>
      <c r="G78" s="56" t="s">
        <v>193</v>
      </c>
      <c r="H78" s="56">
        <v>85</v>
      </c>
      <c r="I78" s="56">
        <v>7942.87</v>
      </c>
      <c r="J78" s="56">
        <v>567.55999999999995</v>
      </c>
      <c r="K78" s="56">
        <v>450</v>
      </c>
      <c r="L78" s="56">
        <v>3054.32</v>
      </c>
      <c r="M78" s="56" t="s">
        <v>194</v>
      </c>
      <c r="N78" s="56">
        <v>15</v>
      </c>
      <c r="O78" s="56">
        <v>790</v>
      </c>
      <c r="P78" s="56">
        <v>10</v>
      </c>
      <c r="Q78" s="56">
        <v>60</v>
      </c>
      <c r="R78" s="56" t="s">
        <v>232</v>
      </c>
    </row>
    <row r="79" spans="1:18">
      <c r="A79" s="220">
        <v>44196</v>
      </c>
      <c r="B79" s="56" t="s">
        <v>5</v>
      </c>
      <c r="C79" s="56" t="s">
        <v>9</v>
      </c>
      <c r="D79" s="56">
        <v>2020</v>
      </c>
      <c r="E79" s="56" t="s">
        <v>95</v>
      </c>
      <c r="F79" s="56" t="s">
        <v>81</v>
      </c>
      <c r="G79" s="56" t="s">
        <v>193</v>
      </c>
      <c r="H79" s="56">
        <v>5</v>
      </c>
      <c r="I79" s="56">
        <v>1755</v>
      </c>
      <c r="J79" s="56">
        <v>245.1</v>
      </c>
      <c r="K79" s="56">
        <v>258</v>
      </c>
      <c r="L79" s="56">
        <v>602.5</v>
      </c>
      <c r="M79" s="56" t="s">
        <v>194</v>
      </c>
      <c r="N79" s="56">
        <v>280</v>
      </c>
      <c r="O79" s="56">
        <v>450</v>
      </c>
      <c r="P79" s="56">
        <v>105.85</v>
      </c>
      <c r="Q79" s="56">
        <v>129</v>
      </c>
      <c r="R79" s="56" t="s">
        <v>232</v>
      </c>
    </row>
    <row r="80" spans="1:18">
      <c r="A80" s="220">
        <v>44196</v>
      </c>
      <c r="B80" s="56" t="s">
        <v>5</v>
      </c>
      <c r="C80" s="56" t="s">
        <v>9</v>
      </c>
      <c r="D80" s="56">
        <v>2020</v>
      </c>
      <c r="E80" s="56" t="s">
        <v>96</v>
      </c>
      <c r="F80" s="56" t="s">
        <v>81</v>
      </c>
      <c r="G80" s="56" t="s">
        <v>193</v>
      </c>
      <c r="H80" s="56">
        <v>8</v>
      </c>
      <c r="I80" s="56">
        <v>3134.25</v>
      </c>
      <c r="J80" s="56">
        <v>566.54</v>
      </c>
      <c r="K80" s="56">
        <v>716.18</v>
      </c>
      <c r="L80" s="56">
        <v>1082.32</v>
      </c>
      <c r="M80" s="56" t="s">
        <v>194</v>
      </c>
      <c r="N80" s="56">
        <v>600</v>
      </c>
      <c r="O80" s="56">
        <v>844.75</v>
      </c>
      <c r="P80" s="56">
        <v>310.68</v>
      </c>
      <c r="Q80" s="56">
        <v>716.82</v>
      </c>
      <c r="R80" s="56" t="s">
        <v>232</v>
      </c>
    </row>
    <row r="81" spans="1:18">
      <c r="A81" s="220">
        <v>44196</v>
      </c>
      <c r="B81" s="56" t="s">
        <v>5</v>
      </c>
      <c r="C81" s="56" t="s">
        <v>9</v>
      </c>
      <c r="D81" s="56">
        <v>2020</v>
      </c>
      <c r="E81" s="56" t="s">
        <v>97</v>
      </c>
      <c r="F81" s="56" t="s">
        <v>81</v>
      </c>
      <c r="G81" s="56" t="s">
        <v>193</v>
      </c>
      <c r="H81" s="56">
        <v>13</v>
      </c>
      <c r="I81" s="56">
        <v>12500</v>
      </c>
      <c r="J81" s="56">
        <v>1928.58</v>
      </c>
      <c r="K81" s="56">
        <v>817</v>
      </c>
      <c r="L81" s="56">
        <v>4426.18</v>
      </c>
      <c r="M81" s="56" t="s">
        <v>194</v>
      </c>
      <c r="N81" s="56">
        <v>280</v>
      </c>
      <c r="O81" s="56">
        <v>1400</v>
      </c>
      <c r="P81" s="56">
        <v>175</v>
      </c>
      <c r="Q81" s="56">
        <v>430</v>
      </c>
      <c r="R81" s="56" t="s">
        <v>232</v>
      </c>
    </row>
    <row r="82" spans="1:18">
      <c r="A82" s="220">
        <v>44196</v>
      </c>
      <c r="B82" s="56" t="s">
        <v>5</v>
      </c>
      <c r="C82" s="56" t="s">
        <v>9</v>
      </c>
      <c r="D82" s="56">
        <v>2020</v>
      </c>
      <c r="E82" s="56" t="s">
        <v>98</v>
      </c>
      <c r="F82" s="56" t="s">
        <v>81</v>
      </c>
      <c r="G82" s="56" t="s">
        <v>193</v>
      </c>
      <c r="H82" s="56">
        <v>148</v>
      </c>
      <c r="I82" s="56">
        <v>85461.5</v>
      </c>
      <c r="J82" s="56">
        <v>11202.58</v>
      </c>
      <c r="K82" s="56">
        <v>10897.5</v>
      </c>
      <c r="L82" s="56">
        <v>31957.49</v>
      </c>
      <c r="M82" s="56" t="s">
        <v>194</v>
      </c>
      <c r="N82" s="56">
        <v>350</v>
      </c>
      <c r="O82" s="56">
        <v>1449</v>
      </c>
      <c r="P82" s="56">
        <v>21.5</v>
      </c>
      <c r="Q82" s="56">
        <v>559</v>
      </c>
      <c r="R82" s="56" t="s">
        <v>232</v>
      </c>
    </row>
    <row r="83" spans="1:18">
      <c r="A83" s="220">
        <v>44196</v>
      </c>
      <c r="B83" s="56" t="s">
        <v>5</v>
      </c>
      <c r="C83" s="56" t="s">
        <v>9</v>
      </c>
      <c r="D83" s="56">
        <v>2020</v>
      </c>
      <c r="E83" s="56" t="s">
        <v>99</v>
      </c>
      <c r="F83" s="56" t="s">
        <v>81</v>
      </c>
      <c r="G83" s="56" t="s">
        <v>193</v>
      </c>
      <c r="H83" s="56">
        <v>10</v>
      </c>
      <c r="I83" s="56">
        <v>3480</v>
      </c>
      <c r="J83" s="56">
        <v>951.65</v>
      </c>
      <c r="K83" s="56">
        <v>0</v>
      </c>
      <c r="L83" s="56">
        <v>2528.35</v>
      </c>
      <c r="M83" s="56" t="s">
        <v>194</v>
      </c>
      <c r="N83" s="56">
        <v>290</v>
      </c>
      <c r="O83" s="56">
        <v>870</v>
      </c>
      <c r="P83" s="56">
        <v>206</v>
      </c>
      <c r="Q83" s="56">
        <v>674.35</v>
      </c>
      <c r="R83" s="56" t="s">
        <v>232</v>
      </c>
    </row>
    <row r="84" spans="1:18">
      <c r="A84" s="220">
        <v>44196</v>
      </c>
      <c r="B84" s="56" t="s">
        <v>5</v>
      </c>
      <c r="C84" s="56" t="s">
        <v>9</v>
      </c>
      <c r="D84" s="56">
        <v>2020</v>
      </c>
      <c r="E84" s="56" t="s">
        <v>100</v>
      </c>
      <c r="F84" s="56" t="s">
        <v>81</v>
      </c>
      <c r="G84" s="56" t="s">
        <v>193</v>
      </c>
      <c r="H84" s="56">
        <v>29</v>
      </c>
      <c r="I84" s="56">
        <v>14515</v>
      </c>
      <c r="J84" s="56">
        <v>2379.65</v>
      </c>
      <c r="K84" s="56">
        <v>0</v>
      </c>
      <c r="L84" s="56">
        <v>12085.35</v>
      </c>
      <c r="M84" s="56" t="s">
        <v>194</v>
      </c>
      <c r="N84" s="56">
        <v>500</v>
      </c>
      <c r="O84" s="56">
        <v>1465</v>
      </c>
      <c r="P84" s="56">
        <v>416</v>
      </c>
      <c r="Q84" s="56">
        <v>1269.3499999999999</v>
      </c>
      <c r="R84" s="56" t="s">
        <v>232</v>
      </c>
    </row>
    <row r="85" spans="1:18">
      <c r="A85" s="220">
        <v>44196</v>
      </c>
      <c r="B85" s="56" t="s">
        <v>5</v>
      </c>
      <c r="C85" s="56" t="s">
        <v>9</v>
      </c>
      <c r="D85" s="56">
        <v>2020</v>
      </c>
      <c r="E85" s="56" t="s">
        <v>101</v>
      </c>
      <c r="F85" s="56" t="s">
        <v>81</v>
      </c>
      <c r="G85" s="56" t="s">
        <v>193</v>
      </c>
      <c r="H85" s="56">
        <v>48</v>
      </c>
      <c r="I85" s="56">
        <v>45404.5</v>
      </c>
      <c r="J85" s="56">
        <v>6097.6</v>
      </c>
      <c r="K85" s="56">
        <v>5580</v>
      </c>
      <c r="L85" s="56">
        <v>16369.15</v>
      </c>
      <c r="M85" s="56" t="s">
        <v>194</v>
      </c>
      <c r="N85" s="56">
        <v>505</v>
      </c>
      <c r="O85" s="56">
        <v>2100</v>
      </c>
      <c r="P85" s="56">
        <v>44</v>
      </c>
      <c r="Q85" s="56">
        <v>559</v>
      </c>
      <c r="R85" s="56" t="s">
        <v>232</v>
      </c>
    </row>
    <row r="86" spans="1:18">
      <c r="A86" s="220">
        <v>44196</v>
      </c>
      <c r="B86" s="56" t="s">
        <v>5</v>
      </c>
      <c r="C86" s="56" t="s">
        <v>9</v>
      </c>
      <c r="D86" s="56">
        <v>2020</v>
      </c>
      <c r="E86" s="56" t="s">
        <v>102</v>
      </c>
      <c r="F86" s="56" t="s">
        <v>81</v>
      </c>
      <c r="G86" s="56" t="s">
        <v>193</v>
      </c>
      <c r="H86" s="56">
        <v>163</v>
      </c>
      <c r="I86" s="56">
        <v>39143.14</v>
      </c>
      <c r="J86" s="56">
        <v>8033.21</v>
      </c>
      <c r="K86" s="56">
        <v>3855</v>
      </c>
      <c r="L86" s="56">
        <v>18446.400000000001</v>
      </c>
      <c r="M86" s="56" t="s">
        <v>194</v>
      </c>
      <c r="N86" s="56">
        <v>7.98</v>
      </c>
      <c r="O86" s="56">
        <v>1340</v>
      </c>
      <c r="P86" s="56">
        <v>2.39</v>
      </c>
      <c r="Q86" s="56">
        <v>706.5</v>
      </c>
      <c r="R86" s="56" t="s">
        <v>232</v>
      </c>
    </row>
    <row r="87" spans="1:18">
      <c r="A87" s="220">
        <v>44196</v>
      </c>
      <c r="B87" s="56" t="s">
        <v>5</v>
      </c>
      <c r="C87" s="56" t="s">
        <v>9</v>
      </c>
      <c r="D87" s="56">
        <v>2020</v>
      </c>
      <c r="E87" s="56" t="s">
        <v>103</v>
      </c>
      <c r="F87" s="56" t="s">
        <v>81</v>
      </c>
      <c r="G87" s="56" t="s">
        <v>193</v>
      </c>
      <c r="H87" s="56">
        <v>3</v>
      </c>
      <c r="I87" s="56">
        <v>265</v>
      </c>
      <c r="J87" s="56">
        <v>103.2</v>
      </c>
      <c r="K87" s="56">
        <v>0</v>
      </c>
      <c r="L87" s="56">
        <v>161.80000000000001</v>
      </c>
      <c r="M87" s="56" t="s">
        <v>194</v>
      </c>
      <c r="N87" s="56">
        <v>65</v>
      </c>
      <c r="O87" s="56">
        <v>100</v>
      </c>
      <c r="P87" s="56">
        <v>22</v>
      </c>
      <c r="Q87" s="56">
        <v>69.900000000000006</v>
      </c>
      <c r="R87" s="56" t="s">
        <v>232</v>
      </c>
    </row>
    <row r="88" spans="1:18">
      <c r="A88" s="220">
        <v>44196</v>
      </c>
      <c r="B88" s="56" t="s">
        <v>5</v>
      </c>
      <c r="C88" s="56" t="s">
        <v>9</v>
      </c>
      <c r="D88" s="56">
        <v>2020</v>
      </c>
      <c r="E88" s="56" t="s">
        <v>104</v>
      </c>
      <c r="F88" s="56" t="s">
        <v>81</v>
      </c>
      <c r="G88" s="56" t="s">
        <v>193</v>
      </c>
      <c r="H88" s="56">
        <v>590</v>
      </c>
      <c r="I88" s="56">
        <v>28803.6400000002</v>
      </c>
      <c r="J88" s="56">
        <v>19802.37</v>
      </c>
      <c r="K88" s="56">
        <v>0</v>
      </c>
      <c r="L88" s="56">
        <v>8973.42</v>
      </c>
      <c r="M88" s="56" t="s">
        <v>194</v>
      </c>
      <c r="N88" s="56">
        <v>26.97</v>
      </c>
      <c r="O88" s="56">
        <v>600</v>
      </c>
      <c r="P88" s="56">
        <v>6.09</v>
      </c>
      <c r="Q88" s="56">
        <v>600</v>
      </c>
      <c r="R88" s="56" t="s">
        <v>232</v>
      </c>
    </row>
    <row r="89" spans="1:18">
      <c r="A89" s="220">
        <v>44196</v>
      </c>
      <c r="B89" s="56" t="s">
        <v>5</v>
      </c>
      <c r="C89" s="56" t="s">
        <v>9</v>
      </c>
      <c r="D89" s="56">
        <v>2020</v>
      </c>
      <c r="E89" s="56" t="s">
        <v>106</v>
      </c>
      <c r="F89" s="56" t="s">
        <v>105</v>
      </c>
      <c r="G89" s="56" t="s">
        <v>193</v>
      </c>
      <c r="H89" s="56">
        <v>6</v>
      </c>
      <c r="I89" s="56">
        <v>0</v>
      </c>
      <c r="J89" s="56">
        <v>1.4210854715202001E-14</v>
      </c>
      <c r="K89" s="56">
        <v>0</v>
      </c>
      <c r="L89" s="56">
        <v>0</v>
      </c>
      <c r="M89" s="56" t="s">
        <v>194</v>
      </c>
      <c r="N89" s="56">
        <v>33.44</v>
      </c>
      <c r="O89" s="56">
        <v>145.01</v>
      </c>
      <c r="P89" s="56">
        <v>10.029999999999999</v>
      </c>
      <c r="Q89" s="56">
        <v>29</v>
      </c>
      <c r="R89" s="56" t="s">
        <v>232</v>
      </c>
    </row>
    <row r="90" spans="1:18">
      <c r="A90" s="220">
        <v>44196</v>
      </c>
      <c r="B90" s="56" t="s">
        <v>5</v>
      </c>
      <c r="C90" s="56" t="s">
        <v>9</v>
      </c>
      <c r="D90" s="56">
        <v>2020</v>
      </c>
      <c r="E90" s="56" t="s">
        <v>107</v>
      </c>
      <c r="F90" s="56" t="s">
        <v>105</v>
      </c>
      <c r="G90" s="56" t="s">
        <v>193</v>
      </c>
      <c r="H90" s="56">
        <v>412</v>
      </c>
      <c r="I90" s="56">
        <v>27347.66</v>
      </c>
      <c r="J90" s="56">
        <v>0</v>
      </c>
      <c r="K90" s="56">
        <v>1165.52</v>
      </c>
      <c r="L90" s="56">
        <v>23798.98</v>
      </c>
      <c r="M90" s="56" t="s">
        <v>194</v>
      </c>
      <c r="N90" s="56">
        <v>20</v>
      </c>
      <c r="O90" s="56">
        <v>220</v>
      </c>
      <c r="P90" s="56">
        <v>1.44</v>
      </c>
      <c r="Q90" s="56">
        <v>68.56</v>
      </c>
      <c r="R90" s="56" t="s">
        <v>232</v>
      </c>
    </row>
    <row r="91" spans="1:18">
      <c r="A91" s="220">
        <v>44196</v>
      </c>
      <c r="B91" s="56" t="s">
        <v>5</v>
      </c>
      <c r="C91" s="56" t="s">
        <v>9</v>
      </c>
      <c r="D91" s="56">
        <v>2020</v>
      </c>
      <c r="E91" s="56" t="s">
        <v>108</v>
      </c>
      <c r="F91" s="56" t="s">
        <v>105</v>
      </c>
      <c r="G91" s="56" t="s">
        <v>193</v>
      </c>
      <c r="H91" s="56">
        <v>2</v>
      </c>
      <c r="I91" s="56">
        <v>50</v>
      </c>
      <c r="J91" s="56">
        <v>0</v>
      </c>
      <c r="K91" s="56">
        <v>0</v>
      </c>
      <c r="L91" s="56">
        <v>50</v>
      </c>
      <c r="M91" s="56" t="s">
        <v>194</v>
      </c>
      <c r="N91" s="56">
        <v>25</v>
      </c>
      <c r="O91" s="56">
        <v>25</v>
      </c>
      <c r="P91" s="56">
        <v>25</v>
      </c>
      <c r="Q91" s="56">
        <v>25</v>
      </c>
      <c r="R91" s="56" t="s">
        <v>232</v>
      </c>
    </row>
    <row r="92" spans="1:18">
      <c r="A92" s="220">
        <v>44196</v>
      </c>
      <c r="B92" s="56" t="s">
        <v>5</v>
      </c>
      <c r="C92" s="56" t="s">
        <v>9</v>
      </c>
      <c r="D92" s="56">
        <v>2020</v>
      </c>
      <c r="E92" s="56" t="s">
        <v>109</v>
      </c>
      <c r="F92" s="56" t="s">
        <v>105</v>
      </c>
      <c r="G92" s="56" t="s">
        <v>193</v>
      </c>
      <c r="H92" s="56">
        <v>1716</v>
      </c>
      <c r="I92" s="56">
        <v>289414.41000000102</v>
      </c>
      <c r="J92" s="56">
        <v>175619.48</v>
      </c>
      <c r="K92" s="56">
        <v>1315.79</v>
      </c>
      <c r="L92" s="56">
        <v>88407.759999999806</v>
      </c>
      <c r="M92" s="56" t="s">
        <v>194</v>
      </c>
      <c r="N92" s="56">
        <v>1.05</v>
      </c>
      <c r="O92" s="56">
        <v>3490</v>
      </c>
      <c r="P92" s="56">
        <v>0.21</v>
      </c>
      <c r="Q92" s="56">
        <v>1200</v>
      </c>
      <c r="R92" s="56" t="s">
        <v>232</v>
      </c>
    </row>
    <row r="93" spans="1:18">
      <c r="A93" s="220">
        <v>44196</v>
      </c>
      <c r="B93" s="56" t="s">
        <v>5</v>
      </c>
      <c r="C93" s="56" t="s">
        <v>9</v>
      </c>
      <c r="D93" s="56">
        <v>2020</v>
      </c>
      <c r="E93" s="56" t="s">
        <v>110</v>
      </c>
      <c r="F93" s="56" t="s">
        <v>105</v>
      </c>
      <c r="G93" s="56" t="s">
        <v>193</v>
      </c>
      <c r="H93" s="56">
        <v>204</v>
      </c>
      <c r="I93" s="56">
        <v>13959.42</v>
      </c>
      <c r="J93" s="56">
        <v>9073.66</v>
      </c>
      <c r="K93" s="56">
        <v>0</v>
      </c>
      <c r="L93" s="56">
        <v>4885.75</v>
      </c>
      <c r="M93" s="56" t="s">
        <v>194</v>
      </c>
      <c r="N93" s="56">
        <v>26.9</v>
      </c>
      <c r="O93" s="56">
        <v>430</v>
      </c>
      <c r="P93" s="56">
        <v>9.4149999999999991</v>
      </c>
      <c r="Q93" s="56">
        <v>150.5</v>
      </c>
      <c r="R93" s="56" t="s">
        <v>232</v>
      </c>
    </row>
    <row r="94" spans="1:18">
      <c r="A94" s="220">
        <v>44196</v>
      </c>
      <c r="B94" s="56" t="s">
        <v>5</v>
      </c>
      <c r="C94" s="56" t="s">
        <v>9</v>
      </c>
      <c r="D94" s="56">
        <v>2020</v>
      </c>
      <c r="E94" s="56" t="s">
        <v>112</v>
      </c>
      <c r="F94" s="56" t="s">
        <v>111</v>
      </c>
      <c r="G94" s="56" t="s">
        <v>193</v>
      </c>
      <c r="H94" s="56">
        <v>170</v>
      </c>
      <c r="I94" s="56">
        <v>16199.48</v>
      </c>
      <c r="J94" s="56">
        <v>680.38</v>
      </c>
      <c r="K94" s="56">
        <v>2468.16</v>
      </c>
      <c r="L94" s="56">
        <v>12251.66</v>
      </c>
      <c r="M94" s="56" t="s">
        <v>194</v>
      </c>
      <c r="N94" s="56">
        <v>4</v>
      </c>
      <c r="O94" s="56">
        <v>616.20000000000005</v>
      </c>
      <c r="P94" s="56">
        <v>1.2</v>
      </c>
      <c r="Q94" s="56">
        <v>200</v>
      </c>
      <c r="R94" s="56" t="s">
        <v>232</v>
      </c>
    </row>
    <row r="95" spans="1:18">
      <c r="A95" s="220">
        <v>44196</v>
      </c>
      <c r="B95" s="56" t="s">
        <v>5</v>
      </c>
      <c r="C95" s="56" t="s">
        <v>9</v>
      </c>
      <c r="D95" s="56">
        <v>2020</v>
      </c>
      <c r="E95" s="56" t="s">
        <v>114</v>
      </c>
      <c r="F95" s="56" t="s">
        <v>113</v>
      </c>
      <c r="G95" s="56" t="s">
        <v>193</v>
      </c>
      <c r="H95" s="56">
        <v>1</v>
      </c>
      <c r="I95" s="56">
        <v>39.96</v>
      </c>
      <c r="J95" s="56">
        <v>0</v>
      </c>
      <c r="K95" s="56">
        <v>0</v>
      </c>
      <c r="L95" s="56">
        <v>39.96</v>
      </c>
      <c r="M95" s="56" t="s">
        <v>194</v>
      </c>
      <c r="N95" s="56">
        <v>39.96</v>
      </c>
      <c r="O95" s="56">
        <v>39.96</v>
      </c>
      <c r="P95" s="56">
        <v>39.96</v>
      </c>
      <c r="Q95" s="56">
        <v>39.96</v>
      </c>
      <c r="R95" s="56" t="s">
        <v>232</v>
      </c>
    </row>
    <row r="96" spans="1:18">
      <c r="A96" s="220">
        <v>44196</v>
      </c>
      <c r="B96" s="56" t="s">
        <v>5</v>
      </c>
      <c r="C96" s="56" t="s">
        <v>9</v>
      </c>
      <c r="D96" s="56">
        <v>2020</v>
      </c>
      <c r="E96" s="56" t="s">
        <v>115</v>
      </c>
      <c r="F96" s="56" t="s">
        <v>113</v>
      </c>
      <c r="G96" s="56" t="s">
        <v>193</v>
      </c>
      <c r="H96" s="56">
        <v>3</v>
      </c>
      <c r="I96" s="56">
        <v>72</v>
      </c>
      <c r="J96" s="56">
        <v>0</v>
      </c>
      <c r="K96" s="56">
        <v>0</v>
      </c>
      <c r="L96" s="56">
        <v>72</v>
      </c>
      <c r="M96" s="56" t="s">
        <v>194</v>
      </c>
      <c r="N96" s="56">
        <v>24</v>
      </c>
      <c r="O96" s="56">
        <v>24</v>
      </c>
      <c r="P96" s="56">
        <v>24</v>
      </c>
      <c r="Q96" s="56">
        <v>24</v>
      </c>
      <c r="R96" s="56" t="s">
        <v>232</v>
      </c>
    </row>
    <row r="97" spans="1:18">
      <c r="A97" s="220">
        <v>44196</v>
      </c>
      <c r="B97" s="56" t="s">
        <v>5</v>
      </c>
      <c r="C97" s="56" t="s">
        <v>9</v>
      </c>
      <c r="D97" s="56">
        <v>2020</v>
      </c>
      <c r="E97" s="56" t="s">
        <v>116</v>
      </c>
      <c r="F97" s="56" t="s">
        <v>113</v>
      </c>
      <c r="G97" s="56" t="s">
        <v>193</v>
      </c>
      <c r="H97" s="56">
        <v>28</v>
      </c>
      <c r="I97" s="56">
        <v>0</v>
      </c>
      <c r="J97" s="56">
        <v>-1.3322676295502001E-15</v>
      </c>
      <c r="K97" s="56">
        <v>0</v>
      </c>
      <c r="L97" s="56">
        <v>2.22044604925E-16</v>
      </c>
      <c r="M97" s="56" t="s">
        <v>194</v>
      </c>
      <c r="N97" s="56">
        <v>3.78</v>
      </c>
      <c r="O97" s="56">
        <v>5.76</v>
      </c>
      <c r="P97" s="56">
        <v>0.38</v>
      </c>
      <c r="Q97" s="56">
        <v>2.2999999999999998</v>
      </c>
      <c r="R97" s="56" t="s">
        <v>232</v>
      </c>
    </row>
    <row r="98" spans="1:18">
      <c r="A98" s="220">
        <v>44196</v>
      </c>
      <c r="B98" s="56" t="s">
        <v>5</v>
      </c>
      <c r="C98" s="56" t="s">
        <v>9</v>
      </c>
      <c r="D98" s="56">
        <v>2020</v>
      </c>
      <c r="E98" s="56" t="s">
        <v>117</v>
      </c>
      <c r="F98" s="56" t="s">
        <v>113</v>
      </c>
      <c r="G98" s="56" t="s">
        <v>193</v>
      </c>
      <c r="H98" s="56">
        <v>10</v>
      </c>
      <c r="I98" s="56">
        <v>1016.5</v>
      </c>
      <c r="J98" s="56">
        <v>207.49</v>
      </c>
      <c r="K98" s="56">
        <v>168.78</v>
      </c>
      <c r="L98" s="56">
        <v>498.41</v>
      </c>
      <c r="M98" s="56" t="s">
        <v>194</v>
      </c>
      <c r="N98" s="56">
        <v>58</v>
      </c>
      <c r="O98" s="56">
        <v>150</v>
      </c>
      <c r="P98" s="56">
        <v>6.95</v>
      </c>
      <c r="Q98" s="56">
        <v>87.42</v>
      </c>
      <c r="R98" s="56" t="s">
        <v>232</v>
      </c>
    </row>
    <row r="99" spans="1:18">
      <c r="A99" s="220">
        <v>44196</v>
      </c>
      <c r="B99" s="56" t="s">
        <v>5</v>
      </c>
      <c r="C99" s="56" t="s">
        <v>9</v>
      </c>
      <c r="D99" s="56">
        <v>2020</v>
      </c>
      <c r="E99" s="56" t="s">
        <v>119</v>
      </c>
      <c r="F99" s="56" t="s">
        <v>118</v>
      </c>
      <c r="G99" s="56" t="s">
        <v>193</v>
      </c>
      <c r="H99" s="56">
        <v>6</v>
      </c>
      <c r="I99" s="56">
        <v>4600</v>
      </c>
      <c r="J99" s="56">
        <v>0</v>
      </c>
      <c r="K99" s="56">
        <v>1028.4000000000001</v>
      </c>
      <c r="L99" s="56">
        <v>2178.4</v>
      </c>
      <c r="M99" s="56" t="s">
        <v>194</v>
      </c>
      <c r="N99" s="56">
        <v>575</v>
      </c>
      <c r="O99" s="56">
        <v>1150</v>
      </c>
      <c r="P99" s="56">
        <v>60.8</v>
      </c>
      <c r="Q99" s="56">
        <v>514.20000000000005</v>
      </c>
      <c r="R99" s="56" t="s">
        <v>232</v>
      </c>
    </row>
    <row r="100" spans="1:18">
      <c r="A100" s="220">
        <v>44196</v>
      </c>
      <c r="B100" s="56" t="s">
        <v>5</v>
      </c>
      <c r="C100" s="56" t="s">
        <v>9</v>
      </c>
      <c r="D100" s="56">
        <v>2020</v>
      </c>
      <c r="E100" s="56" t="s">
        <v>120</v>
      </c>
      <c r="F100" s="56" t="s">
        <v>118</v>
      </c>
      <c r="G100" s="56" t="s">
        <v>193</v>
      </c>
      <c r="H100" s="56">
        <v>365</v>
      </c>
      <c r="I100" s="56">
        <v>24659.72</v>
      </c>
      <c r="J100" s="56">
        <v>189.52</v>
      </c>
      <c r="K100" s="56">
        <v>1032.33</v>
      </c>
      <c r="L100" s="56">
        <v>19737.38</v>
      </c>
      <c r="M100" s="56" t="s">
        <v>194</v>
      </c>
      <c r="N100" s="56">
        <v>19.059999999999999</v>
      </c>
      <c r="O100" s="56">
        <v>390</v>
      </c>
      <c r="P100" s="56">
        <v>4.88</v>
      </c>
      <c r="Q100" s="56">
        <v>137.12</v>
      </c>
      <c r="R100" s="56" t="s">
        <v>232</v>
      </c>
    </row>
    <row r="101" spans="1:18">
      <c r="A101" s="220">
        <v>44196</v>
      </c>
      <c r="B101" s="56" t="s">
        <v>5</v>
      </c>
      <c r="C101" s="56" t="s">
        <v>9</v>
      </c>
      <c r="D101" s="56">
        <v>2020</v>
      </c>
      <c r="E101" s="56" t="s">
        <v>121</v>
      </c>
      <c r="F101" s="56" t="s">
        <v>118</v>
      </c>
      <c r="G101" s="56" t="s">
        <v>193</v>
      </c>
      <c r="H101" s="56">
        <v>3</v>
      </c>
      <c r="I101" s="56">
        <v>740</v>
      </c>
      <c r="J101" s="56">
        <v>0.09</v>
      </c>
      <c r="K101" s="56">
        <v>0</v>
      </c>
      <c r="L101" s="56">
        <v>514.20000000000005</v>
      </c>
      <c r="M101" s="56" t="s">
        <v>194</v>
      </c>
      <c r="N101" s="56">
        <v>170</v>
      </c>
      <c r="O101" s="56">
        <v>400</v>
      </c>
      <c r="P101" s="56">
        <v>169.97</v>
      </c>
      <c r="Q101" s="56">
        <v>174.26</v>
      </c>
      <c r="R101" s="56" t="s">
        <v>232</v>
      </c>
    </row>
    <row r="102" spans="1:18">
      <c r="A102" s="220">
        <v>44196</v>
      </c>
      <c r="B102" s="56" t="s">
        <v>5</v>
      </c>
      <c r="C102" s="56" t="s">
        <v>9</v>
      </c>
      <c r="D102" s="56">
        <v>2020</v>
      </c>
      <c r="E102" s="56" t="s">
        <v>122</v>
      </c>
      <c r="F102" s="56" t="s">
        <v>118</v>
      </c>
      <c r="G102" s="56" t="s">
        <v>193</v>
      </c>
      <c r="H102" s="56">
        <v>7</v>
      </c>
      <c r="I102" s="56">
        <v>219</v>
      </c>
      <c r="J102" s="56">
        <v>16.260000000000002</v>
      </c>
      <c r="K102" s="56">
        <v>0</v>
      </c>
      <c r="L102" s="56">
        <v>172.74</v>
      </c>
      <c r="M102" s="56" t="s">
        <v>194</v>
      </c>
      <c r="N102" s="56">
        <v>14</v>
      </c>
      <c r="O102" s="56">
        <v>100</v>
      </c>
      <c r="P102" s="56">
        <v>8.6</v>
      </c>
      <c r="Q102" s="56">
        <v>99.97</v>
      </c>
      <c r="R102" s="56" t="s">
        <v>232</v>
      </c>
    </row>
    <row r="103" spans="1:18">
      <c r="A103" s="220">
        <v>44196</v>
      </c>
      <c r="B103" s="56" t="s">
        <v>5</v>
      </c>
      <c r="C103" s="56" t="s">
        <v>9</v>
      </c>
      <c r="D103" s="56">
        <v>2020</v>
      </c>
      <c r="E103" s="56" t="s">
        <v>123</v>
      </c>
      <c r="F103" s="56" t="s">
        <v>118</v>
      </c>
      <c r="G103" s="56" t="s">
        <v>193</v>
      </c>
      <c r="H103" s="56">
        <v>478</v>
      </c>
      <c r="I103" s="56">
        <v>248778.37</v>
      </c>
      <c r="J103" s="56">
        <v>198.780000000001</v>
      </c>
      <c r="K103" s="56">
        <v>38076.49</v>
      </c>
      <c r="L103" s="56">
        <v>152670.51</v>
      </c>
      <c r="M103" s="56" t="s">
        <v>194</v>
      </c>
      <c r="N103" s="56">
        <v>45.6</v>
      </c>
      <c r="O103" s="56">
        <v>1408</v>
      </c>
      <c r="P103" s="56">
        <v>31.91</v>
      </c>
      <c r="Q103" s="56">
        <v>514.20000000000005</v>
      </c>
      <c r="R103" s="56" t="s">
        <v>232</v>
      </c>
    </row>
    <row r="104" spans="1:18">
      <c r="A104" s="220">
        <v>44196</v>
      </c>
      <c r="B104" s="56" t="s">
        <v>5</v>
      </c>
      <c r="C104" s="56" t="s">
        <v>9</v>
      </c>
      <c r="D104" s="56">
        <v>2020</v>
      </c>
      <c r="E104" s="56" t="s">
        <v>124</v>
      </c>
      <c r="F104" s="56" t="s">
        <v>118</v>
      </c>
      <c r="G104" s="56" t="s">
        <v>193</v>
      </c>
      <c r="H104" s="56">
        <v>109</v>
      </c>
      <c r="I104" s="56">
        <v>30716.9</v>
      </c>
      <c r="J104" s="56">
        <v>28.44</v>
      </c>
      <c r="K104" s="56">
        <v>3187.86</v>
      </c>
      <c r="L104" s="56">
        <v>19273.259999999998</v>
      </c>
      <c r="M104" s="56" t="s">
        <v>194</v>
      </c>
      <c r="N104" s="56">
        <v>105</v>
      </c>
      <c r="O104" s="56">
        <v>643</v>
      </c>
      <c r="P104" s="56">
        <v>38.83</v>
      </c>
      <c r="Q104" s="56">
        <v>205.68</v>
      </c>
      <c r="R104" s="56" t="s">
        <v>232</v>
      </c>
    </row>
    <row r="105" spans="1:18">
      <c r="A105" s="220">
        <v>44196</v>
      </c>
      <c r="B105" s="56" t="s">
        <v>5</v>
      </c>
      <c r="C105" s="56" t="s">
        <v>9</v>
      </c>
      <c r="D105" s="56">
        <v>2020</v>
      </c>
      <c r="E105" s="56" t="s">
        <v>125</v>
      </c>
      <c r="F105" s="56" t="s">
        <v>118</v>
      </c>
      <c r="G105" s="56" t="s">
        <v>193</v>
      </c>
      <c r="H105" s="56">
        <v>61</v>
      </c>
      <c r="I105" s="56">
        <v>8860.82</v>
      </c>
      <c r="J105" s="56">
        <v>1.77</v>
      </c>
      <c r="K105" s="56">
        <v>0</v>
      </c>
      <c r="L105" s="56">
        <v>7384.43</v>
      </c>
      <c r="M105" s="56" t="s">
        <v>194</v>
      </c>
      <c r="N105" s="56">
        <v>47.4</v>
      </c>
      <c r="O105" s="56">
        <v>350</v>
      </c>
      <c r="P105" s="56">
        <v>8</v>
      </c>
      <c r="Q105" s="56">
        <v>349.97</v>
      </c>
      <c r="R105" s="56" t="s">
        <v>232</v>
      </c>
    </row>
    <row r="106" spans="1:18">
      <c r="A106" s="220">
        <v>44196</v>
      </c>
      <c r="B106" s="56" t="s">
        <v>5</v>
      </c>
      <c r="C106" s="56" t="s">
        <v>9</v>
      </c>
      <c r="D106" s="56">
        <v>2020</v>
      </c>
      <c r="E106" s="56" t="s">
        <v>127</v>
      </c>
      <c r="F106" s="56" t="s">
        <v>126</v>
      </c>
      <c r="G106" s="56" t="s">
        <v>193</v>
      </c>
      <c r="H106" s="56">
        <v>73422</v>
      </c>
      <c r="I106" s="56">
        <v>230718.290000001</v>
      </c>
      <c r="J106" s="56">
        <v>130242.45000003801</v>
      </c>
      <c r="K106" s="56">
        <v>105.1</v>
      </c>
      <c r="L106" s="56">
        <v>100007.039999998</v>
      </c>
      <c r="M106" s="56" t="s">
        <v>194</v>
      </c>
      <c r="N106" s="56">
        <v>0.03</v>
      </c>
      <c r="O106" s="56">
        <v>810</v>
      </c>
      <c r="P106" s="56">
        <v>0.01</v>
      </c>
      <c r="Q106" s="56">
        <v>567</v>
      </c>
      <c r="R106" s="56" t="s">
        <v>232</v>
      </c>
    </row>
    <row r="107" spans="1:18">
      <c r="A107" s="220">
        <v>44196</v>
      </c>
      <c r="B107" s="56" t="s">
        <v>5</v>
      </c>
      <c r="C107" s="56" t="s">
        <v>9</v>
      </c>
      <c r="D107" s="56">
        <v>2020</v>
      </c>
      <c r="E107" s="56" t="s">
        <v>129</v>
      </c>
      <c r="F107" s="56" t="s">
        <v>128</v>
      </c>
      <c r="G107" s="56" t="s">
        <v>193</v>
      </c>
      <c r="H107" s="56">
        <v>36</v>
      </c>
      <c r="I107" s="56">
        <v>1294</v>
      </c>
      <c r="J107" s="56">
        <v>0</v>
      </c>
      <c r="K107" s="56">
        <v>0</v>
      </c>
      <c r="L107" s="56">
        <v>1229</v>
      </c>
      <c r="M107" s="56" t="s">
        <v>194</v>
      </c>
      <c r="N107" s="56">
        <v>30</v>
      </c>
      <c r="O107" s="56">
        <v>70</v>
      </c>
      <c r="P107" s="56">
        <v>15</v>
      </c>
      <c r="Q107" s="56">
        <v>60</v>
      </c>
      <c r="R107" s="56" t="s">
        <v>232</v>
      </c>
    </row>
    <row r="108" spans="1:18">
      <c r="A108" s="220">
        <v>44196</v>
      </c>
      <c r="B108" s="56" t="s">
        <v>5</v>
      </c>
      <c r="C108" s="56" t="s">
        <v>9</v>
      </c>
      <c r="D108" s="56">
        <v>2020</v>
      </c>
      <c r="E108" s="56" t="s">
        <v>131</v>
      </c>
      <c r="F108" s="56" t="s">
        <v>130</v>
      </c>
      <c r="G108" s="56" t="s">
        <v>193</v>
      </c>
      <c r="H108" s="56">
        <v>2230</v>
      </c>
      <c r="I108" s="56">
        <v>73996.550000000207</v>
      </c>
      <c r="J108" s="56">
        <v>41761.860000000503</v>
      </c>
      <c r="K108" s="56">
        <v>-47.13</v>
      </c>
      <c r="L108" s="56">
        <v>29556.45</v>
      </c>
      <c r="M108" s="56" t="s">
        <v>194</v>
      </c>
      <c r="N108" s="56">
        <v>1</v>
      </c>
      <c r="O108" s="56">
        <v>250</v>
      </c>
      <c r="P108" s="56">
        <v>0.32800000000000001</v>
      </c>
      <c r="Q108" s="56">
        <v>131.13999999999999</v>
      </c>
      <c r="R108" s="56" t="s">
        <v>232</v>
      </c>
    </row>
    <row r="109" spans="1:18">
      <c r="A109" s="220">
        <v>44196</v>
      </c>
      <c r="B109" s="56" t="s">
        <v>5</v>
      </c>
      <c r="C109" s="56" t="s">
        <v>9</v>
      </c>
      <c r="D109" s="56">
        <v>2020</v>
      </c>
      <c r="E109" s="56" t="s">
        <v>132</v>
      </c>
      <c r="F109" s="56" t="s">
        <v>130</v>
      </c>
      <c r="G109" s="56" t="s">
        <v>193</v>
      </c>
      <c r="H109" s="56">
        <v>3123</v>
      </c>
      <c r="I109" s="56">
        <v>127862.48</v>
      </c>
      <c r="J109" s="56">
        <v>72464.539999999397</v>
      </c>
      <c r="K109" s="56">
        <v>2567.4899999999998</v>
      </c>
      <c r="L109" s="56">
        <v>33208.8900000004</v>
      </c>
      <c r="M109" s="56" t="s">
        <v>194</v>
      </c>
      <c r="N109" s="56">
        <v>0.38</v>
      </c>
      <c r="O109" s="56">
        <v>600</v>
      </c>
      <c r="P109" s="56">
        <v>0.01</v>
      </c>
      <c r="Q109" s="56">
        <v>387</v>
      </c>
      <c r="R109" s="56" t="s">
        <v>232</v>
      </c>
    </row>
    <row r="110" spans="1:18">
      <c r="A110" s="220">
        <v>44196</v>
      </c>
      <c r="B110" s="56" t="s">
        <v>5</v>
      </c>
      <c r="C110" s="56" t="s">
        <v>9</v>
      </c>
      <c r="D110" s="56">
        <v>2020</v>
      </c>
      <c r="E110" s="56" t="s">
        <v>133</v>
      </c>
      <c r="F110" s="56" t="s">
        <v>130</v>
      </c>
      <c r="G110" s="56" t="s">
        <v>193</v>
      </c>
      <c r="H110" s="56">
        <v>3979</v>
      </c>
      <c r="I110" s="56">
        <v>99877.919999998601</v>
      </c>
      <c r="J110" s="56">
        <v>60794.729999999501</v>
      </c>
      <c r="K110" s="56">
        <v>0</v>
      </c>
      <c r="L110" s="56">
        <v>39083.189999999799</v>
      </c>
      <c r="M110" s="56" t="s">
        <v>194</v>
      </c>
      <c r="N110" s="56">
        <v>1.35</v>
      </c>
      <c r="O110" s="56">
        <v>432</v>
      </c>
      <c r="P110" s="56">
        <v>0.16</v>
      </c>
      <c r="Q110" s="56">
        <v>172.8</v>
      </c>
      <c r="R110" s="56" t="s">
        <v>232</v>
      </c>
    </row>
    <row r="111" spans="1:18">
      <c r="A111" s="220">
        <v>44196</v>
      </c>
      <c r="B111" s="56" t="s">
        <v>5</v>
      </c>
      <c r="C111" s="56" t="s">
        <v>9</v>
      </c>
      <c r="D111" s="56">
        <v>2020</v>
      </c>
      <c r="E111" s="56" t="s">
        <v>134</v>
      </c>
      <c r="F111" s="56" t="s">
        <v>130</v>
      </c>
      <c r="G111" s="56" t="s">
        <v>193</v>
      </c>
      <c r="H111" s="56">
        <v>5303</v>
      </c>
      <c r="I111" s="56">
        <v>106535.899999999</v>
      </c>
      <c r="J111" s="56">
        <v>57992.520000001401</v>
      </c>
      <c r="K111" s="56">
        <v>1148.0899999999999</v>
      </c>
      <c r="L111" s="56">
        <v>38932.969999999201</v>
      </c>
      <c r="M111" s="56" t="s">
        <v>194</v>
      </c>
      <c r="N111" s="56">
        <v>0.75</v>
      </c>
      <c r="O111" s="56">
        <v>445.1</v>
      </c>
      <c r="P111" s="56">
        <v>4.0000000000000001E-3</v>
      </c>
      <c r="Q111" s="56">
        <v>110.21</v>
      </c>
      <c r="R111" s="56" t="s">
        <v>232</v>
      </c>
    </row>
    <row r="112" spans="1:18">
      <c r="A112" s="220">
        <v>44196</v>
      </c>
      <c r="B112" s="56" t="s">
        <v>5</v>
      </c>
      <c r="C112" s="56" t="s">
        <v>9</v>
      </c>
      <c r="D112" s="56">
        <v>2020</v>
      </c>
      <c r="E112" s="56" t="s">
        <v>135</v>
      </c>
      <c r="F112" s="56" t="s">
        <v>130</v>
      </c>
      <c r="G112" s="56" t="s">
        <v>193</v>
      </c>
      <c r="H112" s="56">
        <v>18063</v>
      </c>
      <c r="I112" s="56">
        <v>366819.09999999101</v>
      </c>
      <c r="J112" s="56">
        <v>209488.770000002</v>
      </c>
      <c r="K112" s="56">
        <v>588.6</v>
      </c>
      <c r="L112" s="56">
        <v>138433.03999999299</v>
      </c>
      <c r="M112" s="56" t="s">
        <v>194</v>
      </c>
      <c r="N112" s="56">
        <v>1.35</v>
      </c>
      <c r="O112" s="56">
        <v>200</v>
      </c>
      <c r="P112" s="56">
        <v>0.13</v>
      </c>
      <c r="Q112" s="56">
        <v>89.7</v>
      </c>
      <c r="R112" s="56" t="s">
        <v>232</v>
      </c>
    </row>
  </sheetData>
  <sortState xmlns:xlrd2="http://schemas.microsoft.com/office/spreadsheetml/2017/richdata2" ref="A2:Z118">
    <sortCondition ref="D1:D1048576"/>
    <sortCondition ref="F1:F1048576"/>
    <sortCondition ref="E1:E1048576"/>
  </sortState>
  <pageMargins left="0.7" right="0.7" top="0.75" bottom="0.75" header="0.3" footer="0.3"/>
  <pageSetup paperSize="9" scale="55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7">
    <tabColor theme="9" tint="0.79998168889431442"/>
  </sheetPr>
  <dimension ref="A1:T1"/>
  <sheetViews>
    <sheetView zoomScale="70" zoomScaleNormal="70" workbookViewId="0">
      <pane ySplit="1" topLeftCell="A2" activePane="bottomLeft" state="frozen"/>
      <selection pane="bottomLeft" sqref="A1:A1048576"/>
    </sheetView>
  </sheetViews>
  <sheetFormatPr baseColWidth="10" defaultColWidth="11.42578125" defaultRowHeight="15"/>
  <cols>
    <col min="1" max="1" width="11.5703125" style="220" bestFit="1" customWidth="1"/>
    <col min="2" max="2" width="11.42578125" style="117" bestFit="1" customWidth="1"/>
    <col min="3" max="3" width="10.140625" style="117" bestFit="1" customWidth="1"/>
    <col min="4" max="4" width="13" style="117" bestFit="1" customWidth="1"/>
    <col min="5" max="5" width="44.85546875" style="117" bestFit="1" customWidth="1"/>
    <col min="6" max="6" width="8.7109375" style="117" bestFit="1" customWidth="1"/>
    <col min="7" max="7" width="21.140625" style="117" bestFit="1" customWidth="1"/>
    <col min="8" max="8" width="12.140625" style="117" bestFit="1" customWidth="1"/>
    <col min="9" max="9" width="13.85546875" style="117" bestFit="1" customWidth="1"/>
    <col min="10" max="10" width="15.85546875" style="117" bestFit="1" customWidth="1"/>
    <col min="11" max="11" width="15.28515625" style="117" bestFit="1" customWidth="1"/>
    <col min="12" max="12" width="14.85546875" style="117" bestFit="1" customWidth="1"/>
    <col min="13" max="13" width="9.5703125" style="117" bestFit="1" customWidth="1"/>
    <col min="14" max="14" width="7.42578125" style="117" bestFit="1" customWidth="1"/>
    <col min="15" max="15" width="10" style="117" bestFit="1" customWidth="1"/>
    <col min="16" max="16" width="14.85546875" style="117" bestFit="1" customWidth="1"/>
    <col min="17" max="17" width="11.7109375" style="117" bestFit="1" customWidth="1"/>
    <col min="18" max="18" width="10" style="117" bestFit="1" customWidth="1"/>
    <col min="19" max="19" width="14.85546875" style="117" bestFit="1" customWidth="1"/>
    <col min="20" max="20" width="11.7109375" style="117" bestFit="1" customWidth="1"/>
    <col min="21" max="22" width="11.42578125" style="56" customWidth="1"/>
    <col min="23" max="23" width="33.42578125" style="56" bestFit="1" customWidth="1"/>
    <col min="24" max="27" width="11.42578125" style="56" customWidth="1"/>
    <col min="28" max="16384" width="11.42578125" style="56"/>
  </cols>
  <sheetData>
    <row r="1" spans="1:17">
      <c r="A1" s="220" t="s">
        <v>178</v>
      </c>
      <c r="B1" s="117" t="s">
        <v>174</v>
      </c>
      <c r="C1" s="117" t="s">
        <v>175</v>
      </c>
      <c r="D1" s="117" t="s">
        <v>179</v>
      </c>
      <c r="E1" s="117" t="s">
        <v>180</v>
      </c>
      <c r="F1" s="117" t="s">
        <v>181</v>
      </c>
      <c r="G1" s="117" t="s">
        <v>182</v>
      </c>
      <c r="H1" s="117" t="s">
        <v>183</v>
      </c>
      <c r="I1" s="117" t="s">
        <v>184</v>
      </c>
      <c r="J1" s="117" t="s">
        <v>185</v>
      </c>
      <c r="K1" s="117" t="s">
        <v>186</v>
      </c>
      <c r="L1" s="117" t="s">
        <v>187</v>
      </c>
      <c r="M1" s="117" t="s">
        <v>188</v>
      </c>
      <c r="N1" s="117" t="s">
        <v>189</v>
      </c>
      <c r="O1" s="117" t="s">
        <v>190</v>
      </c>
      <c r="P1" s="117" t="s">
        <v>191</v>
      </c>
      <c r="Q1" s="117" t="s">
        <v>192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8">
    <tabColor theme="9" tint="0.79998168889431442"/>
  </sheetPr>
  <dimension ref="A1:H112"/>
  <sheetViews>
    <sheetView zoomScaleNormal="100" workbookViewId="0">
      <selection sqref="A1:A1048576"/>
    </sheetView>
  </sheetViews>
  <sheetFormatPr baseColWidth="10" defaultColWidth="11.42578125" defaultRowHeight="15"/>
  <cols>
    <col min="1" max="1" width="10.7109375" style="220" bestFit="1" customWidth="1"/>
    <col min="2" max="2" width="16.140625" style="203" bestFit="1" customWidth="1"/>
    <col min="3" max="3" width="18.5703125" style="203" bestFit="1" customWidth="1"/>
    <col min="4" max="4" width="11.5703125" style="203" bestFit="1" customWidth="1"/>
    <col min="5" max="6" width="31.85546875" style="203" bestFit="1" customWidth="1"/>
    <col min="7" max="7" width="11" style="203" bestFit="1" customWidth="1"/>
    <col min="8" max="8" width="16.42578125" style="203" bestFit="1" customWidth="1"/>
    <col min="9" max="11" width="11.42578125" style="203" customWidth="1"/>
    <col min="12" max="16384" width="11.42578125" style="203"/>
  </cols>
  <sheetData>
    <row r="1" spans="1:8">
      <c r="A1" s="220" t="s">
        <v>178</v>
      </c>
      <c r="B1" s="203" t="s">
        <v>174</v>
      </c>
      <c r="C1" s="203" t="s">
        <v>175</v>
      </c>
      <c r="D1" s="203" t="s">
        <v>179</v>
      </c>
      <c r="E1" s="203" t="s">
        <v>180</v>
      </c>
      <c r="F1" s="203" t="s">
        <v>181</v>
      </c>
      <c r="G1" s="203" t="s">
        <v>196</v>
      </c>
      <c r="H1" s="203" t="s">
        <v>171</v>
      </c>
    </row>
    <row r="2" spans="1:8">
      <c r="A2" s="220">
        <v>44196</v>
      </c>
      <c r="B2" s="203" t="s">
        <v>5</v>
      </c>
      <c r="C2" s="203" t="s">
        <v>9</v>
      </c>
      <c r="D2" s="203">
        <v>2019</v>
      </c>
      <c r="E2" s="203" t="s">
        <v>73</v>
      </c>
      <c r="F2" s="203" t="s">
        <v>72</v>
      </c>
      <c r="G2" s="203">
        <v>7.5881400000000303</v>
      </c>
      <c r="H2" s="203" t="s">
        <v>232</v>
      </c>
    </row>
    <row r="3" spans="1:8">
      <c r="A3" s="220">
        <v>44196</v>
      </c>
      <c r="B3" s="203" t="s">
        <v>5</v>
      </c>
      <c r="C3" s="203" t="s">
        <v>9</v>
      </c>
      <c r="D3" s="203">
        <v>2020</v>
      </c>
      <c r="E3" s="203" t="s">
        <v>73</v>
      </c>
      <c r="F3" s="203" t="s">
        <v>72</v>
      </c>
      <c r="G3" s="203">
        <v>732.55626900000902</v>
      </c>
      <c r="H3" s="203" t="s">
        <v>232</v>
      </c>
    </row>
    <row r="4" spans="1:8">
      <c r="A4" s="220">
        <v>44196</v>
      </c>
      <c r="B4" s="203" t="s">
        <v>5</v>
      </c>
      <c r="C4" s="203" t="s">
        <v>9</v>
      </c>
      <c r="D4" s="203">
        <v>2019</v>
      </c>
      <c r="E4" s="203" t="s">
        <v>74</v>
      </c>
      <c r="F4" s="203" t="s">
        <v>72</v>
      </c>
      <c r="G4" s="203">
        <v>-32.041215000000001</v>
      </c>
      <c r="H4" s="203" t="s">
        <v>232</v>
      </c>
    </row>
    <row r="5" spans="1:8">
      <c r="A5" s="220">
        <v>44196</v>
      </c>
      <c r="B5" s="203" t="s">
        <v>5</v>
      </c>
      <c r="C5" s="203" t="s">
        <v>9</v>
      </c>
      <c r="D5" s="203">
        <v>2020</v>
      </c>
      <c r="E5" s="203" t="s">
        <v>74</v>
      </c>
      <c r="F5" s="203" t="s">
        <v>72</v>
      </c>
      <c r="G5" s="203">
        <v>-14856.401513999999</v>
      </c>
      <c r="H5" s="203" t="s">
        <v>232</v>
      </c>
    </row>
    <row r="6" spans="1:8">
      <c r="A6" s="220">
        <v>44196</v>
      </c>
      <c r="B6" s="203" t="s">
        <v>5</v>
      </c>
      <c r="C6" s="203" t="s">
        <v>9</v>
      </c>
      <c r="D6" s="203">
        <v>2019</v>
      </c>
      <c r="E6" s="203" t="s">
        <v>75</v>
      </c>
      <c r="F6" s="203" t="s">
        <v>72</v>
      </c>
      <c r="G6" s="203">
        <v>49.633050000000203</v>
      </c>
      <c r="H6" s="203" t="s">
        <v>232</v>
      </c>
    </row>
    <row r="7" spans="1:8">
      <c r="A7" s="220">
        <v>44196</v>
      </c>
      <c r="B7" s="203" t="s">
        <v>5</v>
      </c>
      <c r="C7" s="203" t="s">
        <v>9</v>
      </c>
      <c r="D7" s="203">
        <v>2020</v>
      </c>
      <c r="E7" s="203" t="s">
        <v>75</v>
      </c>
      <c r="F7" s="203" t="s">
        <v>72</v>
      </c>
      <c r="G7" s="203">
        <v>3944.1648610000002</v>
      </c>
      <c r="H7" s="203" t="s">
        <v>232</v>
      </c>
    </row>
    <row r="8" spans="1:8">
      <c r="A8" s="220">
        <v>44196</v>
      </c>
      <c r="B8" s="203" t="s">
        <v>5</v>
      </c>
      <c r="C8" s="203" t="s">
        <v>9</v>
      </c>
      <c r="D8" s="203">
        <v>2019</v>
      </c>
      <c r="E8" s="203" t="s">
        <v>76</v>
      </c>
      <c r="F8" s="203" t="s">
        <v>72</v>
      </c>
      <c r="G8" s="203">
        <v>4.6350000000000002E-2</v>
      </c>
      <c r="H8" s="203" t="s">
        <v>232</v>
      </c>
    </row>
    <row r="9" spans="1:8">
      <c r="A9" s="220">
        <v>44196</v>
      </c>
      <c r="B9" s="203" t="s">
        <v>5</v>
      </c>
      <c r="C9" s="203" t="s">
        <v>9</v>
      </c>
      <c r="D9" s="203">
        <v>2020</v>
      </c>
      <c r="E9" s="203" t="s">
        <v>76</v>
      </c>
      <c r="F9" s="203" t="s">
        <v>72</v>
      </c>
      <c r="G9" s="203">
        <v>18.378</v>
      </c>
      <c r="H9" s="203" t="s">
        <v>232</v>
      </c>
    </row>
    <row r="10" spans="1:8">
      <c r="A10" s="220">
        <v>44196</v>
      </c>
      <c r="B10" s="203" t="s">
        <v>5</v>
      </c>
      <c r="C10" s="203" t="s">
        <v>9</v>
      </c>
      <c r="D10" s="203">
        <v>2019</v>
      </c>
      <c r="E10" s="203" t="s">
        <v>77</v>
      </c>
      <c r="F10" s="203" t="s">
        <v>72</v>
      </c>
      <c r="G10" s="203">
        <v>55.078800000000001</v>
      </c>
      <c r="H10" s="203" t="s">
        <v>232</v>
      </c>
    </row>
    <row r="11" spans="1:8">
      <c r="A11" s="220">
        <v>44196</v>
      </c>
      <c r="B11" s="203" t="s">
        <v>5</v>
      </c>
      <c r="C11" s="203" t="s">
        <v>9</v>
      </c>
      <c r="D11" s="203">
        <v>2020</v>
      </c>
      <c r="E11" s="203" t="s">
        <v>77</v>
      </c>
      <c r="F11" s="203" t="s">
        <v>72</v>
      </c>
      <c r="G11" s="203">
        <v>3096.8982209999999</v>
      </c>
      <c r="H11" s="203" t="s">
        <v>232</v>
      </c>
    </row>
    <row r="12" spans="1:8">
      <c r="A12" s="220">
        <v>44196</v>
      </c>
      <c r="B12" s="203" t="s">
        <v>5</v>
      </c>
      <c r="C12" s="203" t="s">
        <v>9</v>
      </c>
      <c r="D12" s="203">
        <v>2019</v>
      </c>
      <c r="E12" s="203" t="s">
        <v>78</v>
      </c>
      <c r="F12" s="203" t="s">
        <v>72</v>
      </c>
      <c r="G12" s="203">
        <v>11.554500000000001</v>
      </c>
      <c r="H12" s="203" t="s">
        <v>232</v>
      </c>
    </row>
    <row r="13" spans="1:8">
      <c r="A13" s="220">
        <v>44196</v>
      </c>
      <c r="B13" s="203" t="s">
        <v>5</v>
      </c>
      <c r="C13" s="203" t="s">
        <v>9</v>
      </c>
      <c r="D13" s="203">
        <v>2020</v>
      </c>
      <c r="E13" s="203" t="s">
        <v>78</v>
      </c>
      <c r="F13" s="203" t="s">
        <v>72</v>
      </c>
      <c r="G13" s="203">
        <v>357.35</v>
      </c>
      <c r="H13" s="203" t="s">
        <v>232</v>
      </c>
    </row>
    <row r="14" spans="1:8">
      <c r="A14" s="220">
        <v>44196</v>
      </c>
      <c r="B14" s="203" t="s">
        <v>5</v>
      </c>
      <c r="C14" s="203" t="s">
        <v>9</v>
      </c>
      <c r="D14" s="203">
        <v>2019</v>
      </c>
      <c r="E14" s="203" t="s">
        <v>80</v>
      </c>
      <c r="F14" s="203" t="s">
        <v>79</v>
      </c>
      <c r="G14" s="203">
        <v>1.5822449999999999</v>
      </c>
      <c r="H14" s="203" t="s">
        <v>232</v>
      </c>
    </row>
    <row r="15" spans="1:8">
      <c r="A15" s="220">
        <v>44196</v>
      </c>
      <c r="B15" s="203" t="s">
        <v>5</v>
      </c>
      <c r="C15" s="203" t="s">
        <v>9</v>
      </c>
      <c r="D15" s="203">
        <v>2020</v>
      </c>
      <c r="E15" s="203" t="s">
        <v>80</v>
      </c>
      <c r="F15" s="203" t="s">
        <v>79</v>
      </c>
      <c r="G15" s="203">
        <v>49.008000000000003</v>
      </c>
      <c r="H15" s="203" t="s">
        <v>232</v>
      </c>
    </row>
    <row r="16" spans="1:8">
      <c r="A16" s="220">
        <v>44196</v>
      </c>
      <c r="B16" s="203" t="s">
        <v>5</v>
      </c>
      <c r="C16" s="203" t="s">
        <v>9</v>
      </c>
      <c r="D16" s="203">
        <v>2019</v>
      </c>
      <c r="E16" s="203" t="s">
        <v>82</v>
      </c>
      <c r="F16" s="203" t="s">
        <v>81</v>
      </c>
      <c r="G16" s="203">
        <v>1.6461600000000001</v>
      </c>
      <c r="H16" s="203" t="s">
        <v>232</v>
      </c>
    </row>
    <row r="17" spans="1:8">
      <c r="A17" s="220">
        <v>44196</v>
      </c>
      <c r="B17" s="203" t="s">
        <v>5</v>
      </c>
      <c r="C17" s="203" t="s">
        <v>9</v>
      </c>
      <c r="D17" s="203">
        <v>2020</v>
      </c>
      <c r="E17" s="203" t="s">
        <v>82</v>
      </c>
      <c r="F17" s="203" t="s">
        <v>81</v>
      </c>
      <c r="G17" s="203">
        <v>263.57012900000001</v>
      </c>
      <c r="H17" s="203" t="s">
        <v>232</v>
      </c>
    </row>
    <row r="18" spans="1:8">
      <c r="A18" s="220">
        <v>44196</v>
      </c>
      <c r="B18" s="203" t="s">
        <v>5</v>
      </c>
      <c r="C18" s="203" t="s">
        <v>9</v>
      </c>
      <c r="D18" s="203">
        <v>2019</v>
      </c>
      <c r="E18" s="203" t="s">
        <v>139</v>
      </c>
      <c r="F18" s="203" t="s">
        <v>81</v>
      </c>
      <c r="G18" s="203">
        <v>0.83850000000000002</v>
      </c>
      <c r="H18" s="203" t="s">
        <v>232</v>
      </c>
    </row>
    <row r="19" spans="1:8">
      <c r="A19" s="220">
        <v>44196</v>
      </c>
      <c r="B19" s="203" t="s">
        <v>5</v>
      </c>
      <c r="C19" s="203" t="s">
        <v>9</v>
      </c>
      <c r="D19" s="203">
        <v>2019</v>
      </c>
      <c r="E19" s="203" t="s">
        <v>83</v>
      </c>
      <c r="F19" s="203" t="s">
        <v>81</v>
      </c>
      <c r="G19" s="203">
        <v>0.6</v>
      </c>
      <c r="H19" s="203" t="s">
        <v>232</v>
      </c>
    </row>
    <row r="20" spans="1:8">
      <c r="A20" s="220">
        <v>44196</v>
      </c>
      <c r="B20" s="203" t="s">
        <v>5</v>
      </c>
      <c r="C20" s="203" t="s">
        <v>9</v>
      </c>
      <c r="D20" s="203">
        <v>2020</v>
      </c>
      <c r="E20" s="203" t="s">
        <v>83</v>
      </c>
      <c r="F20" s="203" t="s">
        <v>81</v>
      </c>
      <c r="G20" s="203">
        <v>170.4049</v>
      </c>
      <c r="H20" s="203" t="s">
        <v>232</v>
      </c>
    </row>
    <row r="21" spans="1:8">
      <c r="A21" s="220">
        <v>44196</v>
      </c>
      <c r="B21" s="203" t="s">
        <v>5</v>
      </c>
      <c r="C21" s="203" t="s">
        <v>9</v>
      </c>
      <c r="D21" s="203">
        <v>2019</v>
      </c>
      <c r="E21" s="203" t="s">
        <v>84</v>
      </c>
      <c r="F21" s="203" t="s">
        <v>81</v>
      </c>
      <c r="G21" s="203">
        <v>1.0740000000000001</v>
      </c>
      <c r="H21" s="203" t="s">
        <v>232</v>
      </c>
    </row>
    <row r="22" spans="1:8">
      <c r="A22" s="220">
        <v>44196</v>
      </c>
      <c r="B22" s="203" t="s">
        <v>5</v>
      </c>
      <c r="C22" s="203" t="s">
        <v>9</v>
      </c>
      <c r="D22" s="203">
        <v>2020</v>
      </c>
      <c r="E22" s="203" t="s">
        <v>84</v>
      </c>
      <c r="F22" s="203" t="s">
        <v>81</v>
      </c>
      <c r="G22" s="203">
        <v>206.24199999999999</v>
      </c>
      <c r="H22" s="203" t="s">
        <v>232</v>
      </c>
    </row>
    <row r="23" spans="1:8">
      <c r="A23" s="220">
        <v>44196</v>
      </c>
      <c r="B23" s="203" t="s">
        <v>5</v>
      </c>
      <c r="C23" s="203" t="s">
        <v>9</v>
      </c>
      <c r="D23" s="203">
        <v>2019</v>
      </c>
      <c r="E23" s="203" t="s">
        <v>85</v>
      </c>
      <c r="F23" s="203" t="s">
        <v>81</v>
      </c>
      <c r="G23" s="203">
        <v>1.2521249999999999</v>
      </c>
      <c r="H23" s="203" t="s">
        <v>232</v>
      </c>
    </row>
    <row r="24" spans="1:8">
      <c r="A24" s="220">
        <v>44196</v>
      </c>
      <c r="B24" s="203" t="s">
        <v>5</v>
      </c>
      <c r="C24" s="203" t="s">
        <v>9</v>
      </c>
      <c r="D24" s="203">
        <v>2020</v>
      </c>
      <c r="E24" s="203" t="s">
        <v>85</v>
      </c>
      <c r="F24" s="203" t="s">
        <v>81</v>
      </c>
      <c r="G24" s="203">
        <v>436.1712</v>
      </c>
      <c r="H24" s="203" t="s">
        <v>232</v>
      </c>
    </row>
    <row r="25" spans="1:8">
      <c r="A25" s="220">
        <v>44196</v>
      </c>
      <c r="B25" s="203" t="s">
        <v>5</v>
      </c>
      <c r="C25" s="203" t="s">
        <v>9</v>
      </c>
      <c r="D25" s="203">
        <v>2019</v>
      </c>
      <c r="E25" s="203" t="s">
        <v>86</v>
      </c>
      <c r="F25" s="203" t="s">
        <v>81</v>
      </c>
      <c r="G25" s="203">
        <v>1.2498750000000001</v>
      </c>
      <c r="H25" s="203" t="s">
        <v>232</v>
      </c>
    </row>
    <row r="26" spans="1:8">
      <c r="A26" s="220">
        <v>44196</v>
      </c>
      <c r="B26" s="203" t="s">
        <v>5</v>
      </c>
      <c r="C26" s="203" t="s">
        <v>9</v>
      </c>
      <c r="D26" s="203">
        <v>2020</v>
      </c>
      <c r="E26" s="203" t="s">
        <v>86</v>
      </c>
      <c r="F26" s="203" t="s">
        <v>81</v>
      </c>
      <c r="G26" s="203">
        <v>207.05879999999999</v>
      </c>
      <c r="H26" s="203" t="s">
        <v>232</v>
      </c>
    </row>
    <row r="27" spans="1:8">
      <c r="A27" s="220">
        <v>44196</v>
      </c>
      <c r="B27" s="203" t="s">
        <v>5</v>
      </c>
      <c r="C27" s="203" t="s">
        <v>9</v>
      </c>
      <c r="D27" s="203">
        <v>2020</v>
      </c>
      <c r="E27" s="203" t="s">
        <v>87</v>
      </c>
      <c r="F27" s="203" t="s">
        <v>81</v>
      </c>
      <c r="G27" s="203">
        <v>237.82663500000001</v>
      </c>
      <c r="H27" s="203" t="s">
        <v>232</v>
      </c>
    </row>
    <row r="28" spans="1:8">
      <c r="A28" s="220">
        <v>44196</v>
      </c>
      <c r="B28" s="203" t="s">
        <v>5</v>
      </c>
      <c r="C28" s="203" t="s">
        <v>9</v>
      </c>
      <c r="D28" s="203">
        <v>2019</v>
      </c>
      <c r="E28" s="203" t="s">
        <v>140</v>
      </c>
      <c r="F28" s="203" t="s">
        <v>81</v>
      </c>
      <c r="G28" s="203">
        <v>24.017624999999999</v>
      </c>
      <c r="H28" s="203" t="s">
        <v>232</v>
      </c>
    </row>
    <row r="29" spans="1:8">
      <c r="A29" s="220">
        <v>44196</v>
      </c>
      <c r="B29" s="203" t="s">
        <v>5</v>
      </c>
      <c r="C29" s="203" t="s">
        <v>9</v>
      </c>
      <c r="D29" s="203">
        <v>2019</v>
      </c>
      <c r="E29" s="203" t="s">
        <v>88</v>
      </c>
      <c r="F29" s="203" t="s">
        <v>81</v>
      </c>
      <c r="G29" s="203">
        <v>25.354500000000002</v>
      </c>
      <c r="H29" s="203" t="s">
        <v>232</v>
      </c>
    </row>
    <row r="30" spans="1:8">
      <c r="A30" s="220">
        <v>44196</v>
      </c>
      <c r="B30" s="203" t="s">
        <v>5</v>
      </c>
      <c r="C30" s="203" t="s">
        <v>9</v>
      </c>
      <c r="D30" s="203">
        <v>2020</v>
      </c>
      <c r="E30" s="203" t="s">
        <v>88</v>
      </c>
      <c r="F30" s="203" t="s">
        <v>81</v>
      </c>
      <c r="G30" s="203">
        <v>3129.2629000000002</v>
      </c>
      <c r="H30" s="203" t="s">
        <v>232</v>
      </c>
    </row>
    <row r="31" spans="1:8">
      <c r="A31" s="220">
        <v>44196</v>
      </c>
      <c r="B31" s="203" t="s">
        <v>5</v>
      </c>
      <c r="C31" s="203" t="s">
        <v>9</v>
      </c>
      <c r="D31" s="203">
        <v>2019</v>
      </c>
      <c r="E31" s="203" t="s">
        <v>89</v>
      </c>
      <c r="F31" s="203" t="s">
        <v>81</v>
      </c>
      <c r="G31" s="203">
        <v>1.2765</v>
      </c>
      <c r="H31" s="203" t="s">
        <v>232</v>
      </c>
    </row>
    <row r="32" spans="1:8">
      <c r="A32" s="220">
        <v>44196</v>
      </c>
      <c r="B32" s="203" t="s">
        <v>5</v>
      </c>
      <c r="C32" s="203" t="s">
        <v>9</v>
      </c>
      <c r="D32" s="203">
        <v>2020</v>
      </c>
      <c r="E32" s="203" t="s">
        <v>89</v>
      </c>
      <c r="F32" s="203" t="s">
        <v>81</v>
      </c>
      <c r="G32" s="203">
        <v>421.26459999999997</v>
      </c>
      <c r="H32" s="203" t="s">
        <v>232</v>
      </c>
    </row>
    <row r="33" spans="1:8">
      <c r="A33" s="220">
        <v>44196</v>
      </c>
      <c r="B33" s="203" t="s">
        <v>5</v>
      </c>
      <c r="C33" s="203" t="s">
        <v>9</v>
      </c>
      <c r="D33" s="203">
        <v>2019</v>
      </c>
      <c r="E33" s="203" t="s">
        <v>90</v>
      </c>
      <c r="F33" s="203" t="s">
        <v>81</v>
      </c>
      <c r="G33" s="203">
        <v>1.2524999999999999</v>
      </c>
      <c r="H33" s="203" t="s">
        <v>232</v>
      </c>
    </row>
    <row r="34" spans="1:8">
      <c r="A34" s="220">
        <v>44196</v>
      </c>
      <c r="B34" s="203" t="s">
        <v>5</v>
      </c>
      <c r="C34" s="203" t="s">
        <v>9</v>
      </c>
      <c r="D34" s="203">
        <v>2020</v>
      </c>
      <c r="E34" s="203" t="s">
        <v>90</v>
      </c>
      <c r="F34" s="203" t="s">
        <v>81</v>
      </c>
      <c r="G34" s="203">
        <v>514.58399999999995</v>
      </c>
      <c r="H34" s="203" t="s">
        <v>232</v>
      </c>
    </row>
    <row r="35" spans="1:8">
      <c r="A35" s="220">
        <v>44196</v>
      </c>
      <c r="B35" s="203" t="s">
        <v>5</v>
      </c>
      <c r="C35" s="203" t="s">
        <v>9</v>
      </c>
      <c r="D35" s="203">
        <v>2019</v>
      </c>
      <c r="E35" s="203" t="s">
        <v>91</v>
      </c>
      <c r="F35" s="203" t="s">
        <v>81</v>
      </c>
      <c r="G35" s="203">
        <v>2.1521249999999998</v>
      </c>
      <c r="H35" s="203" t="s">
        <v>232</v>
      </c>
    </row>
    <row r="36" spans="1:8">
      <c r="A36" s="220">
        <v>44196</v>
      </c>
      <c r="B36" s="203" t="s">
        <v>5</v>
      </c>
      <c r="C36" s="203" t="s">
        <v>9</v>
      </c>
      <c r="D36" s="203">
        <v>2020</v>
      </c>
      <c r="E36" s="203" t="s">
        <v>91</v>
      </c>
      <c r="F36" s="203" t="s">
        <v>81</v>
      </c>
      <c r="G36" s="203">
        <v>132.72999999999999</v>
      </c>
      <c r="H36" s="203" t="s">
        <v>232</v>
      </c>
    </row>
    <row r="37" spans="1:8">
      <c r="A37" s="220">
        <v>44196</v>
      </c>
      <c r="B37" s="203" t="s">
        <v>5</v>
      </c>
      <c r="C37" s="203" t="s">
        <v>9</v>
      </c>
      <c r="D37" s="203">
        <v>2019</v>
      </c>
      <c r="E37" s="203" t="s">
        <v>92</v>
      </c>
      <c r="F37" s="203" t="s">
        <v>81</v>
      </c>
      <c r="G37" s="203">
        <v>84.297749999999994</v>
      </c>
      <c r="H37" s="203" t="s">
        <v>232</v>
      </c>
    </row>
    <row r="38" spans="1:8">
      <c r="A38" s="220">
        <v>44196</v>
      </c>
      <c r="B38" s="203" t="s">
        <v>5</v>
      </c>
      <c r="C38" s="203" t="s">
        <v>9</v>
      </c>
      <c r="D38" s="203">
        <v>2020</v>
      </c>
      <c r="E38" s="203" t="s">
        <v>92</v>
      </c>
      <c r="F38" s="203" t="s">
        <v>81</v>
      </c>
      <c r="G38" s="203">
        <v>4913.9106609999999</v>
      </c>
      <c r="H38" s="203" t="s">
        <v>232</v>
      </c>
    </row>
    <row r="39" spans="1:8">
      <c r="A39" s="220">
        <v>44196</v>
      </c>
      <c r="B39" s="203" t="s">
        <v>5</v>
      </c>
      <c r="C39" s="203" t="s">
        <v>9</v>
      </c>
      <c r="D39" s="203">
        <v>2019</v>
      </c>
      <c r="E39" s="203" t="s">
        <v>93</v>
      </c>
      <c r="F39" s="203" t="s">
        <v>81</v>
      </c>
      <c r="G39" s="203">
        <v>3.6225000000000001</v>
      </c>
      <c r="H39" s="203" t="s">
        <v>232</v>
      </c>
    </row>
    <row r="40" spans="1:8">
      <c r="A40" s="220">
        <v>44196</v>
      </c>
      <c r="B40" s="203" t="s">
        <v>5</v>
      </c>
      <c r="C40" s="203" t="s">
        <v>9</v>
      </c>
      <c r="D40" s="203">
        <v>2020</v>
      </c>
      <c r="E40" s="203" t="s">
        <v>93</v>
      </c>
      <c r="F40" s="203" t="s">
        <v>81</v>
      </c>
      <c r="G40" s="203">
        <v>125.583</v>
      </c>
      <c r="H40" s="203" t="s">
        <v>232</v>
      </c>
    </row>
    <row r="41" spans="1:8">
      <c r="A41" s="220">
        <v>44196</v>
      </c>
      <c r="B41" s="203" t="s">
        <v>5</v>
      </c>
      <c r="C41" s="203" t="s">
        <v>9</v>
      </c>
      <c r="D41" s="203">
        <v>2019</v>
      </c>
      <c r="E41" s="203" t="s">
        <v>94</v>
      </c>
      <c r="F41" s="203" t="s">
        <v>81</v>
      </c>
      <c r="G41" s="203">
        <v>5.6497200000000003</v>
      </c>
      <c r="H41" s="203" t="s">
        <v>232</v>
      </c>
    </row>
    <row r="42" spans="1:8">
      <c r="A42" s="220">
        <v>44196</v>
      </c>
      <c r="B42" s="203" t="s">
        <v>5</v>
      </c>
      <c r="C42" s="203" t="s">
        <v>9</v>
      </c>
      <c r="D42" s="203">
        <v>2020</v>
      </c>
      <c r="E42" s="203" t="s">
        <v>94</v>
      </c>
      <c r="F42" s="203" t="s">
        <v>81</v>
      </c>
      <c r="G42" s="203">
        <v>311.84607199999999</v>
      </c>
      <c r="H42" s="203" t="s">
        <v>232</v>
      </c>
    </row>
    <row r="43" spans="1:8">
      <c r="A43" s="220">
        <v>44196</v>
      </c>
      <c r="B43" s="203" t="s">
        <v>5</v>
      </c>
      <c r="C43" s="203" t="s">
        <v>9</v>
      </c>
      <c r="D43" s="203">
        <v>2019</v>
      </c>
      <c r="E43" s="203" t="s">
        <v>141</v>
      </c>
      <c r="F43" s="203" t="s">
        <v>81</v>
      </c>
      <c r="G43" s="203">
        <v>7.1999999999999995E-2</v>
      </c>
      <c r="H43" s="203" t="s">
        <v>232</v>
      </c>
    </row>
    <row r="44" spans="1:8">
      <c r="A44" s="220">
        <v>44196</v>
      </c>
      <c r="B44" s="203" t="s">
        <v>5</v>
      </c>
      <c r="C44" s="203" t="s">
        <v>9</v>
      </c>
      <c r="D44" s="203">
        <v>2019</v>
      </c>
      <c r="E44" s="203" t="s">
        <v>142</v>
      </c>
      <c r="F44" s="203" t="s">
        <v>81</v>
      </c>
      <c r="G44" s="203">
        <v>2.06643</v>
      </c>
      <c r="H44" s="203" t="s">
        <v>232</v>
      </c>
    </row>
    <row r="45" spans="1:8">
      <c r="A45" s="220">
        <v>44196</v>
      </c>
      <c r="B45" s="203" t="s">
        <v>5</v>
      </c>
      <c r="C45" s="203" t="s">
        <v>9</v>
      </c>
      <c r="D45" s="203">
        <v>2019</v>
      </c>
      <c r="E45" s="203" t="s">
        <v>95</v>
      </c>
      <c r="F45" s="203" t="s">
        <v>81</v>
      </c>
      <c r="G45" s="203">
        <v>2.6444999999999999</v>
      </c>
      <c r="H45" s="203" t="s">
        <v>232</v>
      </c>
    </row>
    <row r="46" spans="1:8">
      <c r="A46" s="220">
        <v>44196</v>
      </c>
      <c r="B46" s="203" t="s">
        <v>5</v>
      </c>
      <c r="C46" s="203" t="s">
        <v>9</v>
      </c>
      <c r="D46" s="203">
        <v>2020</v>
      </c>
      <c r="E46" s="203" t="s">
        <v>95</v>
      </c>
      <c r="F46" s="203" t="s">
        <v>81</v>
      </c>
      <c r="G46" s="203">
        <v>61.515250000000002</v>
      </c>
      <c r="H46" s="203" t="s">
        <v>232</v>
      </c>
    </row>
    <row r="47" spans="1:8">
      <c r="A47" s="220">
        <v>44196</v>
      </c>
      <c r="B47" s="203" t="s">
        <v>5</v>
      </c>
      <c r="C47" s="203" t="s">
        <v>9</v>
      </c>
      <c r="D47" s="203">
        <v>2020</v>
      </c>
      <c r="E47" s="203" t="s">
        <v>96</v>
      </c>
      <c r="F47" s="203" t="s">
        <v>81</v>
      </c>
      <c r="G47" s="203">
        <v>110.50487200000001</v>
      </c>
      <c r="H47" s="203" t="s">
        <v>232</v>
      </c>
    </row>
    <row r="48" spans="1:8">
      <c r="A48" s="220">
        <v>44196</v>
      </c>
      <c r="B48" s="203" t="s">
        <v>5</v>
      </c>
      <c r="C48" s="203" t="s">
        <v>9</v>
      </c>
      <c r="D48" s="203">
        <v>2019</v>
      </c>
      <c r="E48" s="203" t="s">
        <v>97</v>
      </c>
      <c r="F48" s="203" t="s">
        <v>81</v>
      </c>
      <c r="G48" s="203">
        <v>4.9987500000000002</v>
      </c>
      <c r="H48" s="203" t="s">
        <v>232</v>
      </c>
    </row>
    <row r="49" spans="1:8">
      <c r="A49" s="220">
        <v>44196</v>
      </c>
      <c r="B49" s="203" t="s">
        <v>5</v>
      </c>
      <c r="C49" s="203" t="s">
        <v>9</v>
      </c>
      <c r="D49" s="203">
        <v>2020</v>
      </c>
      <c r="E49" s="203" t="s">
        <v>97</v>
      </c>
      <c r="F49" s="203" t="s">
        <v>81</v>
      </c>
      <c r="G49" s="203">
        <v>451.91297800000001</v>
      </c>
      <c r="H49" s="203" t="s">
        <v>232</v>
      </c>
    </row>
    <row r="50" spans="1:8">
      <c r="A50" s="220">
        <v>44196</v>
      </c>
      <c r="B50" s="203" t="s">
        <v>5</v>
      </c>
      <c r="C50" s="203" t="s">
        <v>9</v>
      </c>
      <c r="D50" s="203">
        <v>2019</v>
      </c>
      <c r="E50" s="203" t="s">
        <v>98</v>
      </c>
      <c r="F50" s="203" t="s">
        <v>81</v>
      </c>
      <c r="G50" s="203">
        <v>18.46875</v>
      </c>
      <c r="H50" s="203" t="s">
        <v>232</v>
      </c>
    </row>
    <row r="51" spans="1:8">
      <c r="A51" s="220">
        <v>44196</v>
      </c>
      <c r="B51" s="203" t="s">
        <v>5</v>
      </c>
      <c r="C51" s="203" t="s">
        <v>9</v>
      </c>
      <c r="D51" s="203">
        <v>2020</v>
      </c>
      <c r="E51" s="203" t="s">
        <v>98</v>
      </c>
      <c r="F51" s="203" t="s">
        <v>81</v>
      </c>
      <c r="G51" s="203">
        <v>3262.8597289999998</v>
      </c>
      <c r="H51" s="203" t="s">
        <v>232</v>
      </c>
    </row>
    <row r="52" spans="1:8">
      <c r="A52" s="220">
        <v>44196</v>
      </c>
      <c r="B52" s="203" t="s">
        <v>5</v>
      </c>
      <c r="C52" s="203" t="s">
        <v>9</v>
      </c>
      <c r="D52" s="203">
        <v>2019</v>
      </c>
      <c r="E52" s="203" t="s">
        <v>99</v>
      </c>
      <c r="F52" s="203" t="s">
        <v>81</v>
      </c>
      <c r="G52" s="203">
        <v>1.296</v>
      </c>
      <c r="H52" s="203" t="s">
        <v>232</v>
      </c>
    </row>
    <row r="53" spans="1:8">
      <c r="A53" s="220">
        <v>44196</v>
      </c>
      <c r="B53" s="203" t="s">
        <v>5</v>
      </c>
      <c r="C53" s="203" t="s">
        <v>9</v>
      </c>
      <c r="D53" s="203">
        <v>2020</v>
      </c>
      <c r="E53" s="203" t="s">
        <v>99</v>
      </c>
      <c r="F53" s="203" t="s">
        <v>81</v>
      </c>
      <c r="G53" s="203">
        <v>258.14453500000002</v>
      </c>
      <c r="H53" s="203" t="s">
        <v>232</v>
      </c>
    </row>
    <row r="54" spans="1:8">
      <c r="A54" s="220">
        <v>44196</v>
      </c>
      <c r="B54" s="203" t="s">
        <v>5</v>
      </c>
      <c r="C54" s="203" t="s">
        <v>9</v>
      </c>
      <c r="D54" s="203">
        <v>2019</v>
      </c>
      <c r="E54" s="203" t="s">
        <v>100</v>
      </c>
      <c r="F54" s="203" t="s">
        <v>81</v>
      </c>
      <c r="G54" s="203">
        <v>5.4633900000000004</v>
      </c>
      <c r="H54" s="203" t="s">
        <v>232</v>
      </c>
    </row>
    <row r="55" spans="1:8">
      <c r="A55" s="220">
        <v>44196</v>
      </c>
      <c r="B55" s="203" t="s">
        <v>5</v>
      </c>
      <c r="C55" s="203" t="s">
        <v>9</v>
      </c>
      <c r="D55" s="203">
        <v>2020</v>
      </c>
      <c r="E55" s="203" t="s">
        <v>100</v>
      </c>
      <c r="F55" s="203" t="s">
        <v>81</v>
      </c>
      <c r="G55" s="203">
        <v>1233.914235</v>
      </c>
      <c r="H55" s="203" t="s">
        <v>232</v>
      </c>
    </row>
    <row r="56" spans="1:8">
      <c r="A56" s="220">
        <v>44196</v>
      </c>
      <c r="B56" s="203" t="s">
        <v>5</v>
      </c>
      <c r="C56" s="203" t="s">
        <v>9</v>
      </c>
      <c r="D56" s="203">
        <v>2019</v>
      </c>
      <c r="E56" s="203" t="s">
        <v>101</v>
      </c>
      <c r="F56" s="203" t="s">
        <v>81</v>
      </c>
      <c r="G56" s="203">
        <v>5.2209149999999998</v>
      </c>
      <c r="H56" s="203" t="s">
        <v>232</v>
      </c>
    </row>
    <row r="57" spans="1:8">
      <c r="A57" s="220">
        <v>44196</v>
      </c>
      <c r="B57" s="203" t="s">
        <v>5</v>
      </c>
      <c r="C57" s="203" t="s">
        <v>9</v>
      </c>
      <c r="D57" s="203">
        <v>2020</v>
      </c>
      <c r="E57" s="203" t="s">
        <v>101</v>
      </c>
      <c r="F57" s="203" t="s">
        <v>81</v>
      </c>
      <c r="G57" s="203">
        <v>1671.290215</v>
      </c>
      <c r="H57" s="203" t="s">
        <v>232</v>
      </c>
    </row>
    <row r="58" spans="1:8">
      <c r="A58" s="220">
        <v>44196</v>
      </c>
      <c r="B58" s="203" t="s">
        <v>5</v>
      </c>
      <c r="C58" s="203" t="s">
        <v>9</v>
      </c>
      <c r="D58" s="203">
        <v>2019</v>
      </c>
      <c r="E58" s="203" t="s">
        <v>102</v>
      </c>
      <c r="F58" s="203" t="s">
        <v>81</v>
      </c>
      <c r="G58" s="203">
        <v>58.880850000000002</v>
      </c>
      <c r="H58" s="203" t="s">
        <v>232</v>
      </c>
    </row>
    <row r="59" spans="1:8">
      <c r="A59" s="220">
        <v>44196</v>
      </c>
      <c r="B59" s="203" t="s">
        <v>5</v>
      </c>
      <c r="C59" s="203" t="s">
        <v>9</v>
      </c>
      <c r="D59" s="203">
        <v>2020</v>
      </c>
      <c r="E59" s="203" t="s">
        <v>102</v>
      </c>
      <c r="F59" s="203" t="s">
        <v>81</v>
      </c>
      <c r="G59" s="203">
        <v>1883.37744</v>
      </c>
      <c r="H59" s="203" t="s">
        <v>232</v>
      </c>
    </row>
    <row r="60" spans="1:8">
      <c r="A60" s="220">
        <v>44196</v>
      </c>
      <c r="B60" s="203" t="s">
        <v>5</v>
      </c>
      <c r="C60" s="203" t="s">
        <v>9</v>
      </c>
      <c r="D60" s="203">
        <v>2019</v>
      </c>
      <c r="E60" s="203" t="s">
        <v>143</v>
      </c>
      <c r="F60" s="203" t="s">
        <v>81</v>
      </c>
      <c r="G60" s="203">
        <v>0.58499999999999996</v>
      </c>
      <c r="H60" s="203" t="s">
        <v>232</v>
      </c>
    </row>
    <row r="61" spans="1:8">
      <c r="A61" s="220">
        <v>44196</v>
      </c>
      <c r="B61" s="203" t="s">
        <v>5</v>
      </c>
      <c r="C61" s="203" t="s">
        <v>9</v>
      </c>
      <c r="D61" s="203">
        <v>2019</v>
      </c>
      <c r="E61" s="203" t="s">
        <v>144</v>
      </c>
      <c r="F61" s="203" t="s">
        <v>81</v>
      </c>
      <c r="G61" s="203">
        <v>9.6749999999999996E-3</v>
      </c>
      <c r="H61" s="203" t="s">
        <v>232</v>
      </c>
    </row>
    <row r="62" spans="1:8">
      <c r="A62" s="220">
        <v>44196</v>
      </c>
      <c r="B62" s="203" t="s">
        <v>5</v>
      </c>
      <c r="C62" s="203" t="s">
        <v>9</v>
      </c>
      <c r="D62" s="203">
        <v>2020</v>
      </c>
      <c r="E62" s="203" t="s">
        <v>103</v>
      </c>
      <c r="F62" s="203" t="s">
        <v>81</v>
      </c>
      <c r="G62" s="203">
        <v>16.519780000000001</v>
      </c>
      <c r="H62" s="203" t="s">
        <v>232</v>
      </c>
    </row>
    <row r="63" spans="1:8">
      <c r="A63" s="220">
        <v>44196</v>
      </c>
      <c r="B63" s="203" t="s">
        <v>5</v>
      </c>
      <c r="C63" s="203" t="s">
        <v>9</v>
      </c>
      <c r="D63" s="203">
        <v>2019</v>
      </c>
      <c r="E63" s="203" t="s">
        <v>104</v>
      </c>
      <c r="F63" s="203" t="s">
        <v>81</v>
      </c>
      <c r="G63" s="203">
        <v>21.691500000000101</v>
      </c>
      <c r="H63" s="203" t="s">
        <v>232</v>
      </c>
    </row>
    <row r="64" spans="1:8">
      <c r="A64" s="220">
        <v>44196</v>
      </c>
      <c r="B64" s="203" t="s">
        <v>5</v>
      </c>
      <c r="C64" s="203" t="s">
        <v>9</v>
      </c>
      <c r="D64" s="203">
        <v>2020</v>
      </c>
      <c r="E64" s="203" t="s">
        <v>104</v>
      </c>
      <c r="F64" s="203" t="s">
        <v>81</v>
      </c>
      <c r="G64" s="203">
        <v>916.18618200000003</v>
      </c>
      <c r="H64" s="203" t="s">
        <v>232</v>
      </c>
    </row>
    <row r="65" spans="1:8">
      <c r="A65" s="220">
        <v>44196</v>
      </c>
      <c r="B65" s="203" t="s">
        <v>5</v>
      </c>
      <c r="C65" s="203" t="s">
        <v>9</v>
      </c>
      <c r="D65" s="203">
        <v>2019</v>
      </c>
      <c r="E65" s="203" t="s">
        <v>106</v>
      </c>
      <c r="F65" s="203" t="s">
        <v>105</v>
      </c>
      <c r="G65" s="203">
        <v>0</v>
      </c>
      <c r="H65" s="203" t="s">
        <v>232</v>
      </c>
    </row>
    <row r="66" spans="1:8">
      <c r="A66" s="220">
        <v>44196</v>
      </c>
      <c r="B66" s="203" t="s">
        <v>5</v>
      </c>
      <c r="C66" s="203" t="s">
        <v>9</v>
      </c>
      <c r="D66" s="203">
        <v>2020</v>
      </c>
      <c r="E66" s="203" t="s">
        <v>106</v>
      </c>
      <c r="F66" s="203" t="s">
        <v>105</v>
      </c>
      <c r="G66" s="203">
        <v>0</v>
      </c>
      <c r="H66" s="203" t="s">
        <v>232</v>
      </c>
    </row>
    <row r="67" spans="1:8">
      <c r="A67" s="220">
        <v>44196</v>
      </c>
      <c r="B67" s="203" t="s">
        <v>5</v>
      </c>
      <c r="C67" s="203" t="s">
        <v>9</v>
      </c>
      <c r="D67" s="203">
        <v>2019</v>
      </c>
      <c r="E67" s="203" t="s">
        <v>107</v>
      </c>
      <c r="F67" s="203" t="s">
        <v>105</v>
      </c>
      <c r="G67" s="203">
        <v>68.877359999999996</v>
      </c>
      <c r="H67" s="203" t="s">
        <v>232</v>
      </c>
    </row>
    <row r="68" spans="1:8">
      <c r="A68" s="220">
        <v>44196</v>
      </c>
      <c r="B68" s="203" t="s">
        <v>5</v>
      </c>
      <c r="C68" s="203" t="s">
        <v>9</v>
      </c>
      <c r="D68" s="203">
        <v>2020</v>
      </c>
      <c r="E68" s="203" t="s">
        <v>107</v>
      </c>
      <c r="F68" s="203" t="s">
        <v>105</v>
      </c>
      <c r="G68" s="203">
        <v>2429.8758579999999</v>
      </c>
      <c r="H68" s="203" t="s">
        <v>232</v>
      </c>
    </row>
    <row r="69" spans="1:8">
      <c r="A69" s="220">
        <v>44196</v>
      </c>
      <c r="B69" s="203" t="s">
        <v>5</v>
      </c>
      <c r="C69" s="203" t="s">
        <v>9</v>
      </c>
      <c r="D69" s="203">
        <v>2019</v>
      </c>
      <c r="E69" s="203" t="s">
        <v>145</v>
      </c>
      <c r="F69" s="203" t="s">
        <v>105</v>
      </c>
      <c r="G69" s="203">
        <v>3.0105E-2</v>
      </c>
      <c r="H69" s="203" t="s">
        <v>232</v>
      </c>
    </row>
    <row r="70" spans="1:8">
      <c r="A70" s="220">
        <v>44196</v>
      </c>
      <c r="B70" s="203" t="s">
        <v>5</v>
      </c>
      <c r="C70" s="203" t="s">
        <v>9</v>
      </c>
      <c r="D70" s="203">
        <v>2019</v>
      </c>
      <c r="E70" s="203" t="s">
        <v>108</v>
      </c>
      <c r="F70" s="203" t="s">
        <v>105</v>
      </c>
      <c r="G70" s="203">
        <v>0.2505</v>
      </c>
      <c r="H70" s="203" t="s">
        <v>232</v>
      </c>
    </row>
    <row r="71" spans="1:8">
      <c r="A71" s="220">
        <v>44196</v>
      </c>
      <c r="B71" s="203" t="s">
        <v>5</v>
      </c>
      <c r="C71" s="203" t="s">
        <v>9</v>
      </c>
      <c r="D71" s="203">
        <v>2020</v>
      </c>
      <c r="E71" s="203" t="s">
        <v>108</v>
      </c>
      <c r="F71" s="203" t="s">
        <v>105</v>
      </c>
      <c r="G71" s="203">
        <v>5.1050000000000004</v>
      </c>
      <c r="H71" s="203" t="s">
        <v>232</v>
      </c>
    </row>
    <row r="72" spans="1:8">
      <c r="A72" s="220">
        <v>44196</v>
      </c>
      <c r="B72" s="203" t="s">
        <v>5</v>
      </c>
      <c r="C72" s="203" t="s">
        <v>9</v>
      </c>
      <c r="D72" s="203">
        <v>2019</v>
      </c>
      <c r="E72" s="203" t="s">
        <v>109</v>
      </c>
      <c r="F72" s="203" t="s">
        <v>105</v>
      </c>
      <c r="G72" s="203">
        <v>163.30761000000001</v>
      </c>
      <c r="H72" s="203" t="s">
        <v>232</v>
      </c>
    </row>
    <row r="73" spans="1:8">
      <c r="A73" s="220">
        <v>44196</v>
      </c>
      <c r="B73" s="203" t="s">
        <v>5</v>
      </c>
      <c r="C73" s="203" t="s">
        <v>9</v>
      </c>
      <c r="D73" s="203">
        <v>2020</v>
      </c>
      <c r="E73" s="203" t="s">
        <v>109</v>
      </c>
      <c r="F73" s="203" t="s">
        <v>105</v>
      </c>
      <c r="G73" s="203">
        <v>9026.4322959999809</v>
      </c>
      <c r="H73" s="203" t="s">
        <v>232</v>
      </c>
    </row>
    <row r="74" spans="1:8">
      <c r="A74" s="220">
        <v>44196</v>
      </c>
      <c r="B74" s="203" t="s">
        <v>5</v>
      </c>
      <c r="C74" s="203" t="s">
        <v>9</v>
      </c>
      <c r="D74" s="203">
        <v>2019</v>
      </c>
      <c r="E74" s="203" t="s">
        <v>110</v>
      </c>
      <c r="F74" s="203" t="s">
        <v>105</v>
      </c>
      <c r="G74" s="203">
        <v>4.9773750000000003</v>
      </c>
      <c r="H74" s="203" t="s">
        <v>232</v>
      </c>
    </row>
    <row r="75" spans="1:8">
      <c r="A75" s="220">
        <v>44196</v>
      </c>
      <c r="B75" s="203" t="s">
        <v>5</v>
      </c>
      <c r="C75" s="203" t="s">
        <v>9</v>
      </c>
      <c r="D75" s="203">
        <v>2020</v>
      </c>
      <c r="E75" s="203" t="s">
        <v>110</v>
      </c>
      <c r="F75" s="203" t="s">
        <v>105</v>
      </c>
      <c r="G75" s="203">
        <v>498.83507500000002</v>
      </c>
      <c r="H75" s="203" t="s">
        <v>232</v>
      </c>
    </row>
    <row r="76" spans="1:8">
      <c r="A76" s="220">
        <v>44196</v>
      </c>
      <c r="B76" s="203" t="s">
        <v>5</v>
      </c>
      <c r="C76" s="203" t="s">
        <v>9</v>
      </c>
      <c r="D76" s="203">
        <v>2019</v>
      </c>
      <c r="E76" s="203" t="s">
        <v>112</v>
      </c>
      <c r="F76" s="203" t="s">
        <v>111</v>
      </c>
      <c r="G76" s="203">
        <v>25.036664999999999</v>
      </c>
      <c r="H76" s="203" t="s">
        <v>232</v>
      </c>
    </row>
    <row r="77" spans="1:8">
      <c r="A77" s="220">
        <v>44196</v>
      </c>
      <c r="B77" s="203" t="s">
        <v>5</v>
      </c>
      <c r="C77" s="203" t="s">
        <v>9</v>
      </c>
      <c r="D77" s="203">
        <v>2020</v>
      </c>
      <c r="E77" s="203" t="s">
        <v>112</v>
      </c>
      <c r="F77" s="203" t="s">
        <v>111</v>
      </c>
      <c r="G77" s="203">
        <v>1250.8944859999999</v>
      </c>
      <c r="H77" s="203" t="s">
        <v>232</v>
      </c>
    </row>
    <row r="78" spans="1:8">
      <c r="A78" s="220">
        <v>44196</v>
      </c>
      <c r="B78" s="203" t="s">
        <v>5</v>
      </c>
      <c r="C78" s="203" t="s">
        <v>9</v>
      </c>
      <c r="D78" s="203">
        <v>2019</v>
      </c>
      <c r="E78" s="203" t="s">
        <v>146</v>
      </c>
      <c r="F78" s="203" t="s">
        <v>113</v>
      </c>
      <c r="G78" s="203">
        <v>1.38E-2</v>
      </c>
      <c r="H78" s="203" t="s">
        <v>232</v>
      </c>
    </row>
    <row r="79" spans="1:8">
      <c r="A79" s="220">
        <v>44196</v>
      </c>
      <c r="B79" s="203" t="s">
        <v>5</v>
      </c>
      <c r="C79" s="203" t="s">
        <v>9</v>
      </c>
      <c r="D79" s="203">
        <v>2020</v>
      </c>
      <c r="E79" s="203" t="s">
        <v>114</v>
      </c>
      <c r="F79" s="203" t="s">
        <v>113</v>
      </c>
      <c r="G79" s="203">
        <v>4.0799159999999999</v>
      </c>
      <c r="H79" s="203" t="s">
        <v>232</v>
      </c>
    </row>
    <row r="80" spans="1:8">
      <c r="A80" s="220">
        <v>44196</v>
      </c>
      <c r="B80" s="203" t="s">
        <v>5</v>
      </c>
      <c r="C80" s="203" t="s">
        <v>9</v>
      </c>
      <c r="D80" s="203">
        <v>2019</v>
      </c>
      <c r="E80" s="203" t="s">
        <v>195</v>
      </c>
      <c r="F80" s="203" t="s">
        <v>113</v>
      </c>
      <c r="G80" s="203">
        <v>0</v>
      </c>
      <c r="H80" s="203" t="s">
        <v>232</v>
      </c>
    </row>
    <row r="81" spans="1:8">
      <c r="A81" s="220">
        <v>44196</v>
      </c>
      <c r="B81" s="203" t="s">
        <v>5</v>
      </c>
      <c r="C81" s="203" t="s">
        <v>9</v>
      </c>
      <c r="D81" s="203">
        <v>2020</v>
      </c>
      <c r="E81" s="203" t="s">
        <v>115</v>
      </c>
      <c r="F81" s="203" t="s">
        <v>113</v>
      </c>
      <c r="G81" s="203">
        <v>7.3512000000000004</v>
      </c>
      <c r="H81" s="203" t="s">
        <v>232</v>
      </c>
    </row>
    <row r="82" spans="1:8">
      <c r="A82" s="220">
        <v>44196</v>
      </c>
      <c r="B82" s="203" t="s">
        <v>5</v>
      </c>
      <c r="C82" s="203" t="s">
        <v>9</v>
      </c>
      <c r="D82" s="203">
        <v>2019</v>
      </c>
      <c r="E82" s="203" t="s">
        <v>116</v>
      </c>
      <c r="F82" s="203" t="s">
        <v>113</v>
      </c>
      <c r="G82" s="203">
        <v>2.2650000000000001E-3</v>
      </c>
      <c r="H82" s="203" t="s">
        <v>232</v>
      </c>
    </row>
    <row r="83" spans="1:8">
      <c r="A83" s="220">
        <v>44196</v>
      </c>
      <c r="B83" s="203" t="s">
        <v>5</v>
      </c>
      <c r="C83" s="203" t="s">
        <v>9</v>
      </c>
      <c r="D83" s="203">
        <v>2020</v>
      </c>
      <c r="E83" s="203" t="s">
        <v>116</v>
      </c>
      <c r="F83" s="203" t="s">
        <v>113</v>
      </c>
      <c r="G83" s="203">
        <v>2.26707541628E-17</v>
      </c>
      <c r="H83" s="203" t="s">
        <v>232</v>
      </c>
    </row>
    <row r="84" spans="1:8">
      <c r="A84" s="220">
        <v>44196</v>
      </c>
      <c r="B84" s="203" t="s">
        <v>5</v>
      </c>
      <c r="C84" s="203" t="s">
        <v>9</v>
      </c>
      <c r="D84" s="203">
        <v>2019</v>
      </c>
      <c r="E84" s="203" t="s">
        <v>117</v>
      </c>
      <c r="F84" s="203" t="s">
        <v>113</v>
      </c>
      <c r="G84" s="203">
        <v>0.25847999999999999</v>
      </c>
      <c r="H84" s="203" t="s">
        <v>232</v>
      </c>
    </row>
    <row r="85" spans="1:8">
      <c r="A85" s="220">
        <v>44196</v>
      </c>
      <c r="B85" s="203" t="s">
        <v>5</v>
      </c>
      <c r="C85" s="203" t="s">
        <v>9</v>
      </c>
      <c r="D85" s="203">
        <v>2020</v>
      </c>
      <c r="E85" s="203" t="s">
        <v>117</v>
      </c>
      <c r="F85" s="203" t="s">
        <v>113</v>
      </c>
      <c r="G85" s="203">
        <v>50.887661000000001</v>
      </c>
      <c r="H85" s="203" t="s">
        <v>232</v>
      </c>
    </row>
    <row r="86" spans="1:8">
      <c r="A86" s="220">
        <v>44196</v>
      </c>
      <c r="B86" s="203" t="s">
        <v>5</v>
      </c>
      <c r="C86" s="203" t="s">
        <v>9</v>
      </c>
      <c r="D86" s="203">
        <v>2019</v>
      </c>
      <c r="E86" s="203" t="s">
        <v>119</v>
      </c>
      <c r="F86" s="203" t="s">
        <v>118</v>
      </c>
      <c r="G86" s="203">
        <v>2.5327500000000001</v>
      </c>
      <c r="H86" s="203" t="s">
        <v>232</v>
      </c>
    </row>
    <row r="87" spans="1:8">
      <c r="A87" s="220">
        <v>44196</v>
      </c>
      <c r="B87" s="203" t="s">
        <v>5</v>
      </c>
      <c r="C87" s="203" t="s">
        <v>9</v>
      </c>
      <c r="D87" s="203">
        <v>2020</v>
      </c>
      <c r="E87" s="203" t="s">
        <v>119</v>
      </c>
      <c r="F87" s="203" t="s">
        <v>118</v>
      </c>
      <c r="G87" s="203">
        <v>222.41463999999999</v>
      </c>
      <c r="H87" s="203" t="s">
        <v>232</v>
      </c>
    </row>
    <row r="88" spans="1:8">
      <c r="A88" s="220">
        <v>44196</v>
      </c>
      <c r="B88" s="203" t="s">
        <v>5</v>
      </c>
      <c r="C88" s="203" t="s">
        <v>9</v>
      </c>
      <c r="D88" s="203">
        <v>2019</v>
      </c>
      <c r="E88" s="203" t="s">
        <v>120</v>
      </c>
      <c r="F88" s="203" t="s">
        <v>118</v>
      </c>
      <c r="G88" s="203">
        <v>35.627040000000001</v>
      </c>
      <c r="H88" s="203" t="s">
        <v>232</v>
      </c>
    </row>
    <row r="89" spans="1:8">
      <c r="A89" s="220">
        <v>44196</v>
      </c>
      <c r="B89" s="203" t="s">
        <v>5</v>
      </c>
      <c r="C89" s="203" t="s">
        <v>9</v>
      </c>
      <c r="D89" s="203">
        <v>2020</v>
      </c>
      <c r="E89" s="203" t="s">
        <v>120</v>
      </c>
      <c r="F89" s="203" t="s">
        <v>118</v>
      </c>
      <c r="G89" s="203">
        <v>2015.186498</v>
      </c>
      <c r="H89" s="203" t="s">
        <v>232</v>
      </c>
    </row>
    <row r="90" spans="1:8">
      <c r="A90" s="220">
        <v>44196</v>
      </c>
      <c r="B90" s="203" t="s">
        <v>5</v>
      </c>
      <c r="C90" s="203" t="s">
        <v>9</v>
      </c>
      <c r="D90" s="203">
        <v>2020</v>
      </c>
      <c r="E90" s="203" t="s">
        <v>121</v>
      </c>
      <c r="F90" s="203" t="s">
        <v>118</v>
      </c>
      <c r="G90" s="203">
        <v>52.49982</v>
      </c>
      <c r="H90" s="203" t="s">
        <v>232</v>
      </c>
    </row>
    <row r="91" spans="1:8">
      <c r="A91" s="220">
        <v>44196</v>
      </c>
      <c r="B91" s="203" t="s">
        <v>5</v>
      </c>
      <c r="C91" s="203" t="s">
        <v>9</v>
      </c>
      <c r="D91" s="203">
        <v>2019</v>
      </c>
      <c r="E91" s="203" t="s">
        <v>122</v>
      </c>
      <c r="F91" s="203" t="s">
        <v>118</v>
      </c>
      <c r="G91" s="203">
        <v>3.3750000000000002E-2</v>
      </c>
      <c r="H91" s="203" t="s">
        <v>232</v>
      </c>
    </row>
    <row r="92" spans="1:8">
      <c r="A92" s="220">
        <v>44196</v>
      </c>
      <c r="B92" s="203" t="s">
        <v>5</v>
      </c>
      <c r="C92" s="203" t="s">
        <v>9</v>
      </c>
      <c r="D92" s="203">
        <v>2020</v>
      </c>
      <c r="E92" s="203" t="s">
        <v>122</v>
      </c>
      <c r="F92" s="203" t="s">
        <v>118</v>
      </c>
      <c r="G92" s="203">
        <v>17.636754</v>
      </c>
      <c r="H92" s="203" t="s">
        <v>232</v>
      </c>
    </row>
    <row r="93" spans="1:8">
      <c r="A93" s="220">
        <v>44196</v>
      </c>
      <c r="B93" s="203" t="s">
        <v>5</v>
      </c>
      <c r="C93" s="203" t="s">
        <v>9</v>
      </c>
      <c r="D93" s="203">
        <v>2019</v>
      </c>
      <c r="E93" s="203" t="s">
        <v>123</v>
      </c>
      <c r="F93" s="203" t="s">
        <v>118</v>
      </c>
      <c r="G93" s="203">
        <v>284.25397500000003</v>
      </c>
      <c r="H93" s="203" t="s">
        <v>232</v>
      </c>
    </row>
    <row r="94" spans="1:8">
      <c r="A94" s="220">
        <v>44196</v>
      </c>
      <c r="B94" s="203" t="s">
        <v>5</v>
      </c>
      <c r="C94" s="203" t="s">
        <v>9</v>
      </c>
      <c r="D94" s="203">
        <v>2020</v>
      </c>
      <c r="E94" s="203" t="s">
        <v>123</v>
      </c>
      <c r="F94" s="203" t="s">
        <v>118</v>
      </c>
      <c r="G94" s="203">
        <v>15587.659071</v>
      </c>
      <c r="H94" s="203" t="s">
        <v>232</v>
      </c>
    </row>
    <row r="95" spans="1:8">
      <c r="A95" s="220">
        <v>44196</v>
      </c>
      <c r="B95" s="203" t="s">
        <v>5</v>
      </c>
      <c r="C95" s="203" t="s">
        <v>9</v>
      </c>
      <c r="D95" s="203">
        <v>2019</v>
      </c>
      <c r="E95" s="203" t="s">
        <v>124</v>
      </c>
      <c r="F95" s="203" t="s">
        <v>118</v>
      </c>
      <c r="G95" s="203">
        <v>41.203200000000002</v>
      </c>
      <c r="H95" s="203" t="s">
        <v>232</v>
      </c>
    </row>
    <row r="96" spans="1:8">
      <c r="A96" s="220">
        <v>44196</v>
      </c>
      <c r="B96" s="203" t="s">
        <v>5</v>
      </c>
      <c r="C96" s="203" t="s">
        <v>9</v>
      </c>
      <c r="D96" s="203">
        <v>2020</v>
      </c>
      <c r="E96" s="203" t="s">
        <v>124</v>
      </c>
      <c r="F96" s="203" t="s">
        <v>118</v>
      </c>
      <c r="G96" s="203">
        <v>1967.7998459999999</v>
      </c>
      <c r="H96" s="203" t="s">
        <v>232</v>
      </c>
    </row>
    <row r="97" spans="1:8">
      <c r="A97" s="220">
        <v>44196</v>
      </c>
      <c r="B97" s="203" t="s">
        <v>5</v>
      </c>
      <c r="C97" s="203" t="s">
        <v>9</v>
      </c>
      <c r="D97" s="203">
        <v>2019</v>
      </c>
      <c r="E97" s="203" t="s">
        <v>125</v>
      </c>
      <c r="F97" s="203" t="s">
        <v>118</v>
      </c>
      <c r="G97" s="203">
        <v>0.4425</v>
      </c>
      <c r="H97" s="203" t="s">
        <v>232</v>
      </c>
    </row>
    <row r="98" spans="1:8">
      <c r="A98" s="220">
        <v>44196</v>
      </c>
      <c r="B98" s="203" t="s">
        <v>5</v>
      </c>
      <c r="C98" s="203" t="s">
        <v>9</v>
      </c>
      <c r="D98" s="203">
        <v>2020</v>
      </c>
      <c r="E98" s="203" t="s">
        <v>125</v>
      </c>
      <c r="F98" s="203" t="s">
        <v>118</v>
      </c>
      <c r="G98" s="203">
        <v>753.95030299999996</v>
      </c>
      <c r="H98" s="203" t="s">
        <v>232</v>
      </c>
    </row>
    <row r="99" spans="1:8">
      <c r="A99" s="220">
        <v>44196</v>
      </c>
      <c r="B99" s="203" t="s">
        <v>5</v>
      </c>
      <c r="C99" s="203" t="s">
        <v>9</v>
      </c>
      <c r="D99" s="203">
        <v>2019</v>
      </c>
      <c r="E99" s="203" t="s">
        <v>127</v>
      </c>
      <c r="F99" s="203" t="s">
        <v>126</v>
      </c>
      <c r="G99" s="203">
        <v>147.93428999999901</v>
      </c>
      <c r="H99" s="203" t="s">
        <v>232</v>
      </c>
    </row>
    <row r="100" spans="1:8">
      <c r="A100" s="220">
        <v>44196</v>
      </c>
      <c r="B100" s="203" t="s">
        <v>5</v>
      </c>
      <c r="C100" s="203" t="s">
        <v>9</v>
      </c>
      <c r="D100" s="203">
        <v>2020</v>
      </c>
      <c r="E100" s="203" t="s">
        <v>127</v>
      </c>
      <c r="F100" s="203" t="s">
        <v>126</v>
      </c>
      <c r="G100" s="203">
        <v>10210.718783999801</v>
      </c>
      <c r="H100" s="203" t="s">
        <v>232</v>
      </c>
    </row>
    <row r="101" spans="1:8">
      <c r="A101" s="220">
        <v>44196</v>
      </c>
      <c r="B101" s="203" t="s">
        <v>5</v>
      </c>
      <c r="C101" s="203" t="s">
        <v>9</v>
      </c>
      <c r="D101" s="203">
        <v>2019</v>
      </c>
      <c r="E101" s="203" t="s">
        <v>129</v>
      </c>
      <c r="F101" s="203" t="s">
        <v>128</v>
      </c>
      <c r="G101" s="203">
        <v>2.6339999999999999</v>
      </c>
      <c r="H101" s="203" t="s">
        <v>232</v>
      </c>
    </row>
    <row r="102" spans="1:8">
      <c r="A102" s="220">
        <v>44196</v>
      </c>
      <c r="B102" s="203" t="s">
        <v>5</v>
      </c>
      <c r="C102" s="203" t="s">
        <v>9</v>
      </c>
      <c r="D102" s="203">
        <v>2020</v>
      </c>
      <c r="E102" s="203" t="s">
        <v>129</v>
      </c>
      <c r="F102" s="203" t="s">
        <v>128</v>
      </c>
      <c r="G102" s="203">
        <v>125.48090000000001</v>
      </c>
      <c r="H102" s="203" t="s">
        <v>232</v>
      </c>
    </row>
    <row r="103" spans="1:8">
      <c r="A103" s="220">
        <v>44196</v>
      </c>
      <c r="B103" s="203" t="s">
        <v>5</v>
      </c>
      <c r="C103" s="203" t="s">
        <v>9</v>
      </c>
      <c r="D103" s="203">
        <v>2019</v>
      </c>
      <c r="E103" s="203" t="s">
        <v>131</v>
      </c>
      <c r="F103" s="203" t="s">
        <v>130</v>
      </c>
      <c r="G103" s="203">
        <v>54.090869999999597</v>
      </c>
      <c r="H103" s="203" t="s">
        <v>232</v>
      </c>
    </row>
    <row r="104" spans="1:8">
      <c r="A104" s="220">
        <v>44196</v>
      </c>
      <c r="B104" s="203" t="s">
        <v>5</v>
      </c>
      <c r="C104" s="203" t="s">
        <v>9</v>
      </c>
      <c r="D104" s="203">
        <v>2020</v>
      </c>
      <c r="E104" s="203" t="s">
        <v>131</v>
      </c>
      <c r="F104" s="203" t="s">
        <v>130</v>
      </c>
      <c r="G104" s="203">
        <v>3017.7135450000001</v>
      </c>
      <c r="H104" s="203" t="s">
        <v>232</v>
      </c>
    </row>
    <row r="105" spans="1:8">
      <c r="A105" s="220">
        <v>44196</v>
      </c>
      <c r="B105" s="203" t="s">
        <v>5</v>
      </c>
      <c r="C105" s="203" t="s">
        <v>9</v>
      </c>
      <c r="D105" s="203">
        <v>2019</v>
      </c>
      <c r="E105" s="203" t="s">
        <v>132</v>
      </c>
      <c r="F105" s="203" t="s">
        <v>130</v>
      </c>
      <c r="G105" s="203">
        <v>53.913420000000499</v>
      </c>
      <c r="H105" s="203" t="s">
        <v>232</v>
      </c>
    </row>
    <row r="106" spans="1:8">
      <c r="A106" s="220">
        <v>44196</v>
      </c>
      <c r="B106" s="203" t="s">
        <v>5</v>
      </c>
      <c r="C106" s="203" t="s">
        <v>9</v>
      </c>
      <c r="D106" s="203">
        <v>2020</v>
      </c>
      <c r="E106" s="203" t="s">
        <v>132</v>
      </c>
      <c r="F106" s="203" t="s">
        <v>130</v>
      </c>
      <c r="G106" s="203">
        <v>3390.62766900004</v>
      </c>
      <c r="H106" s="203" t="s">
        <v>232</v>
      </c>
    </row>
    <row r="107" spans="1:8">
      <c r="A107" s="220">
        <v>44196</v>
      </c>
      <c r="B107" s="203" t="s">
        <v>5</v>
      </c>
      <c r="C107" s="203" t="s">
        <v>9</v>
      </c>
      <c r="D107" s="203">
        <v>2019</v>
      </c>
      <c r="E107" s="203" t="s">
        <v>133</v>
      </c>
      <c r="F107" s="203" t="s">
        <v>130</v>
      </c>
      <c r="G107" s="203">
        <v>59.992499999999801</v>
      </c>
      <c r="H107" s="203" t="s">
        <v>232</v>
      </c>
    </row>
    <row r="108" spans="1:8">
      <c r="A108" s="220">
        <v>44196</v>
      </c>
      <c r="B108" s="203" t="s">
        <v>5</v>
      </c>
      <c r="C108" s="203" t="s">
        <v>9</v>
      </c>
      <c r="D108" s="203">
        <v>2020</v>
      </c>
      <c r="E108" s="203" t="s">
        <v>133</v>
      </c>
      <c r="F108" s="203" t="s">
        <v>130</v>
      </c>
      <c r="G108" s="203">
        <v>3990.3936989999802</v>
      </c>
      <c r="H108" s="203" t="s">
        <v>232</v>
      </c>
    </row>
    <row r="109" spans="1:8">
      <c r="A109" s="220">
        <v>44196</v>
      </c>
      <c r="B109" s="203" t="s">
        <v>5</v>
      </c>
      <c r="C109" s="203" t="s">
        <v>9</v>
      </c>
      <c r="D109" s="203">
        <v>2019</v>
      </c>
      <c r="E109" s="203" t="s">
        <v>134</v>
      </c>
      <c r="F109" s="203" t="s">
        <v>130</v>
      </c>
      <c r="G109" s="203">
        <v>80.564834999991803</v>
      </c>
      <c r="H109" s="203" t="s">
        <v>232</v>
      </c>
    </row>
    <row r="110" spans="1:8">
      <c r="A110" s="220">
        <v>44196</v>
      </c>
      <c r="B110" s="203" t="s">
        <v>5</v>
      </c>
      <c r="C110" s="203" t="s">
        <v>9</v>
      </c>
      <c r="D110" s="203">
        <v>2020</v>
      </c>
      <c r="E110" s="203" t="s">
        <v>134</v>
      </c>
      <c r="F110" s="203" t="s">
        <v>130</v>
      </c>
      <c r="G110" s="203">
        <v>3975.0562369999202</v>
      </c>
      <c r="H110" s="203" t="s">
        <v>232</v>
      </c>
    </row>
    <row r="111" spans="1:8">
      <c r="A111" s="220">
        <v>44196</v>
      </c>
      <c r="B111" s="203" t="s">
        <v>5</v>
      </c>
      <c r="C111" s="203" t="s">
        <v>9</v>
      </c>
      <c r="D111" s="203">
        <v>2019</v>
      </c>
      <c r="E111" s="203" t="s">
        <v>135</v>
      </c>
      <c r="F111" s="203" t="s">
        <v>130</v>
      </c>
      <c r="G111" s="203">
        <v>222.10961999999199</v>
      </c>
      <c r="H111" s="203" t="s">
        <v>232</v>
      </c>
    </row>
    <row r="112" spans="1:8">
      <c r="A112" s="220">
        <v>44196</v>
      </c>
      <c r="B112" s="203" t="s">
        <v>5</v>
      </c>
      <c r="C112" s="203" t="s">
        <v>9</v>
      </c>
      <c r="D112" s="203">
        <v>2020</v>
      </c>
      <c r="E112" s="203" t="s">
        <v>135</v>
      </c>
      <c r="F112" s="203" t="s">
        <v>130</v>
      </c>
      <c r="G112" s="203">
        <v>14134.0133839992</v>
      </c>
      <c r="H112" s="203" t="s">
        <v>232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9">
    <tabColor theme="9" tint="0.79998168889431442"/>
  </sheetPr>
  <dimension ref="A1:S5"/>
  <sheetViews>
    <sheetView workbookViewId="0">
      <selection activeCell="B2" sqref="B2"/>
    </sheetView>
  </sheetViews>
  <sheetFormatPr baseColWidth="10" defaultColWidth="11.42578125" defaultRowHeight="15"/>
  <cols>
    <col min="1" max="1" width="31.85546875" style="117" bestFit="1" customWidth="1"/>
    <col min="2" max="3" width="11.42578125" style="117" customWidth="1"/>
    <col min="4" max="16384" width="11.42578125" style="117"/>
  </cols>
  <sheetData>
    <row r="1" spans="1:19">
      <c r="A1" s="117" t="s">
        <v>180</v>
      </c>
      <c r="B1" s="117" t="s">
        <v>197</v>
      </c>
      <c r="C1" s="117" t="s">
        <v>198</v>
      </c>
      <c r="D1" s="117" t="s">
        <v>199</v>
      </c>
      <c r="E1" s="117" t="s">
        <v>200</v>
      </c>
      <c r="F1" s="117" t="s">
        <v>201</v>
      </c>
      <c r="G1" s="117" t="s">
        <v>202</v>
      </c>
      <c r="H1" s="117" t="s">
        <v>203</v>
      </c>
    </row>
    <row r="2" spans="1:19">
      <c r="A2" s="191" t="s">
        <v>135</v>
      </c>
      <c r="B2" s="61">
        <v>1.35</v>
      </c>
      <c r="C2" s="61">
        <v>207</v>
      </c>
      <c r="D2" s="61">
        <v>5</v>
      </c>
      <c r="E2" s="61">
        <v>23</v>
      </c>
      <c r="F2" s="61">
        <v>25</v>
      </c>
      <c r="G2" s="61">
        <v>50</v>
      </c>
      <c r="H2" s="61">
        <v>21.690517817321599</v>
      </c>
      <c r="M2" s="61">
        <v>1.35</v>
      </c>
      <c r="N2" s="61">
        <v>207</v>
      </c>
      <c r="O2" s="61">
        <v>5</v>
      </c>
      <c r="P2" s="61">
        <v>23</v>
      </c>
      <c r="Q2" s="61">
        <v>25</v>
      </c>
      <c r="R2" s="61">
        <v>50</v>
      </c>
      <c r="S2" s="61">
        <v>21.690517817321599</v>
      </c>
    </row>
    <row r="3" spans="1:19">
      <c r="A3" s="119" t="s">
        <v>123</v>
      </c>
      <c r="B3" s="61">
        <v>45.6</v>
      </c>
      <c r="C3" s="61">
        <v>1533</v>
      </c>
      <c r="D3" s="61">
        <v>342.8</v>
      </c>
      <c r="E3" s="61">
        <v>495</v>
      </c>
      <c r="F3" s="61">
        <v>679.2</v>
      </c>
      <c r="G3" s="61">
        <v>806.54</v>
      </c>
      <c r="H3" s="61">
        <v>525.55520683453199</v>
      </c>
      <c r="M3" s="61">
        <v>45.6</v>
      </c>
      <c r="N3" s="61">
        <v>1533</v>
      </c>
      <c r="O3" s="61">
        <v>342.8</v>
      </c>
      <c r="P3" s="61">
        <v>495</v>
      </c>
      <c r="Q3" s="61">
        <v>679.2</v>
      </c>
      <c r="R3" s="61">
        <v>806.54</v>
      </c>
      <c r="S3" s="61">
        <v>525.55520683453199</v>
      </c>
    </row>
    <row r="4" spans="1:19">
      <c r="A4" s="191" t="s">
        <v>124</v>
      </c>
      <c r="B4" s="61">
        <v>105</v>
      </c>
      <c r="C4" s="61">
        <v>759</v>
      </c>
      <c r="D4" s="61">
        <v>250</v>
      </c>
      <c r="E4" s="61">
        <v>286.11</v>
      </c>
      <c r="F4" s="61">
        <v>339.4</v>
      </c>
      <c r="G4" s="61">
        <v>424.2</v>
      </c>
      <c r="H4" s="61">
        <v>308.197290076336</v>
      </c>
      <c r="M4" s="61">
        <v>105</v>
      </c>
      <c r="N4" s="61">
        <v>759</v>
      </c>
      <c r="O4" s="61">
        <v>250</v>
      </c>
      <c r="P4" s="61">
        <v>286.11</v>
      </c>
      <c r="Q4" s="61">
        <v>339.4</v>
      </c>
      <c r="R4" s="61">
        <v>424.2</v>
      </c>
      <c r="S4" s="61">
        <v>308.197290076336</v>
      </c>
    </row>
    <row r="5" spans="1:19">
      <c r="A5" s="191" t="s">
        <v>102</v>
      </c>
      <c r="B5" s="61">
        <v>7.98</v>
      </c>
      <c r="C5" s="61">
        <v>1635</v>
      </c>
      <c r="D5" s="61">
        <v>175</v>
      </c>
      <c r="E5" s="61">
        <v>300</v>
      </c>
      <c r="F5" s="61">
        <v>470</v>
      </c>
      <c r="G5" s="61">
        <v>630</v>
      </c>
      <c r="H5" s="61">
        <v>340.69781472684099</v>
      </c>
      <c r="M5" s="61">
        <v>7.98</v>
      </c>
      <c r="N5" s="61">
        <v>1635</v>
      </c>
      <c r="O5" s="61">
        <v>175</v>
      </c>
      <c r="P5" s="61">
        <v>300</v>
      </c>
      <c r="Q5" s="61">
        <v>470</v>
      </c>
      <c r="R5" s="61">
        <v>630</v>
      </c>
      <c r="S5" s="61">
        <v>340.69781472684099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0">
    <tabColor theme="9" tint="0.79998168889431442"/>
  </sheetPr>
  <dimension ref="A1:S77"/>
  <sheetViews>
    <sheetView topLeftCell="A47" zoomScaleNormal="100" workbookViewId="0">
      <selection activeCell="B77" sqref="B77"/>
    </sheetView>
  </sheetViews>
  <sheetFormatPr baseColWidth="10" defaultColWidth="11.42578125" defaultRowHeight="15"/>
  <cols>
    <col min="1" max="1" width="7" style="203" bestFit="1" customWidth="1"/>
    <col min="2" max="2" width="8.28515625" style="203" bestFit="1" customWidth="1"/>
    <col min="3" max="3" width="41.140625" style="203" bestFit="1" customWidth="1"/>
    <col min="4" max="4" width="2.85546875" style="203" customWidth="1"/>
    <col min="5" max="5" width="7" style="203" bestFit="1" customWidth="1"/>
    <col min="6" max="6" width="8.85546875" style="203" bestFit="1" customWidth="1"/>
    <col min="7" max="7" width="39.28515625" style="203" bestFit="1" customWidth="1"/>
    <col min="8" max="8" width="2.85546875" style="203" customWidth="1"/>
    <col min="9" max="9" width="7" style="203" bestFit="1" customWidth="1"/>
    <col min="10" max="10" width="9.7109375" style="203" bestFit="1" customWidth="1"/>
    <col min="11" max="11" width="41.42578125" style="203" bestFit="1" customWidth="1"/>
    <col min="12" max="12" width="2.85546875" style="117" customWidth="1"/>
    <col min="13" max="13" width="11.7109375" style="117" bestFit="1" customWidth="1"/>
    <col min="14" max="14" width="10.7109375" style="117" bestFit="1" customWidth="1"/>
    <col min="15" max="15" width="14.28515625" style="117" bestFit="1" customWidth="1"/>
    <col min="16" max="16" width="2.85546875" style="117" customWidth="1"/>
    <col min="17" max="17" width="7.140625" style="117" bestFit="1" customWidth="1"/>
    <col min="18" max="18" width="10.5703125" style="117" bestFit="1" customWidth="1"/>
    <col min="19" max="19" width="18.28515625" style="117" bestFit="1" customWidth="1"/>
    <col min="20" max="21" width="11.42578125" style="117" customWidth="1"/>
    <col min="22" max="16384" width="11.42578125" style="117"/>
  </cols>
  <sheetData>
    <row r="1" spans="1:19">
      <c r="A1" s="203" t="s">
        <v>204</v>
      </c>
      <c r="B1" s="203" t="s">
        <v>205</v>
      </c>
      <c r="C1" s="203" t="s">
        <v>206</v>
      </c>
      <c r="E1" s="203" t="s">
        <v>204</v>
      </c>
      <c r="F1" s="203" t="s">
        <v>205</v>
      </c>
      <c r="G1" s="203" t="s">
        <v>206</v>
      </c>
      <c r="I1" s="203" t="s">
        <v>204</v>
      </c>
      <c r="J1" s="203" t="s">
        <v>205</v>
      </c>
      <c r="K1" s="203" t="s">
        <v>206</v>
      </c>
      <c r="M1" s="117" t="s">
        <v>207</v>
      </c>
      <c r="N1" s="117" t="s">
        <v>208</v>
      </c>
      <c r="O1" s="117" t="s">
        <v>209</v>
      </c>
      <c r="Q1" s="117" t="s">
        <v>210</v>
      </c>
      <c r="R1" s="117" t="s">
        <v>211</v>
      </c>
      <c r="S1" s="117" t="s">
        <v>212</v>
      </c>
    </row>
    <row r="2" spans="1:19">
      <c r="A2" s="215">
        <v>1</v>
      </c>
      <c r="B2" s="216" t="s">
        <v>72</v>
      </c>
      <c r="C2" s="216" t="s">
        <v>73</v>
      </c>
      <c r="E2" s="203">
        <v>1</v>
      </c>
      <c r="F2" s="203" t="s">
        <v>118</v>
      </c>
      <c r="G2" s="216" t="s">
        <v>119</v>
      </c>
      <c r="I2" s="203">
        <v>1</v>
      </c>
      <c r="J2" s="203" t="s">
        <v>81</v>
      </c>
      <c r="K2" s="216" t="s">
        <v>82</v>
      </c>
      <c r="M2" s="60" t="s">
        <v>213</v>
      </c>
      <c r="N2" s="60" t="s">
        <v>214</v>
      </c>
      <c r="O2" s="60" t="s">
        <v>214</v>
      </c>
      <c r="Q2" s="59">
        <v>0.13269999999999998</v>
      </c>
      <c r="R2" s="59">
        <v>0.1</v>
      </c>
      <c r="S2" s="59">
        <v>0</v>
      </c>
    </row>
    <row r="3" spans="1:19">
      <c r="A3" s="215">
        <v>2</v>
      </c>
      <c r="B3" s="216" t="s">
        <v>72</v>
      </c>
      <c r="C3" s="216" t="s">
        <v>215</v>
      </c>
      <c r="E3" s="203">
        <v>2</v>
      </c>
      <c r="F3" s="203" t="s">
        <v>118</v>
      </c>
      <c r="G3" s="216" t="s">
        <v>120</v>
      </c>
      <c r="I3" s="203">
        <v>2</v>
      </c>
      <c r="J3" s="203" t="s">
        <v>81</v>
      </c>
      <c r="K3" s="216" t="s">
        <v>139</v>
      </c>
    </row>
    <row r="4" spans="1:19">
      <c r="A4" s="215">
        <v>3</v>
      </c>
      <c r="B4" s="216" t="s">
        <v>72</v>
      </c>
      <c r="C4" s="216" t="s">
        <v>74</v>
      </c>
      <c r="E4" s="203">
        <v>3</v>
      </c>
      <c r="F4" s="203" t="s">
        <v>118</v>
      </c>
      <c r="G4" s="216" t="s">
        <v>121</v>
      </c>
      <c r="I4" s="203">
        <v>3</v>
      </c>
      <c r="J4" s="203" t="s">
        <v>81</v>
      </c>
      <c r="K4" s="216" t="s">
        <v>83</v>
      </c>
      <c r="M4" s="191" t="s">
        <v>216</v>
      </c>
      <c r="N4" s="191"/>
      <c r="O4" s="191"/>
    </row>
    <row r="5" spans="1:19">
      <c r="A5" s="215">
        <v>4</v>
      </c>
      <c r="B5" s="216" t="s">
        <v>72</v>
      </c>
      <c r="C5" s="216" t="s">
        <v>75</v>
      </c>
      <c r="E5" s="203">
        <v>4</v>
      </c>
      <c r="F5" s="203" t="s">
        <v>118</v>
      </c>
      <c r="G5" s="216" t="s">
        <v>122</v>
      </c>
      <c r="I5" s="203">
        <v>4</v>
      </c>
      <c r="J5" s="203" t="s">
        <v>81</v>
      </c>
      <c r="K5" s="216" t="s">
        <v>84</v>
      </c>
      <c r="M5" s="216" t="s">
        <v>118</v>
      </c>
    </row>
    <row r="6" spans="1:19">
      <c r="A6" s="215">
        <v>5</v>
      </c>
      <c r="B6" s="216" t="s">
        <v>72</v>
      </c>
      <c r="C6" s="216" t="s">
        <v>76</v>
      </c>
      <c r="E6" s="203">
        <v>5</v>
      </c>
      <c r="F6" s="203" t="s">
        <v>118</v>
      </c>
      <c r="G6" s="216" t="s">
        <v>123</v>
      </c>
      <c r="I6" s="203">
        <v>5</v>
      </c>
      <c r="J6" s="203" t="s">
        <v>81</v>
      </c>
      <c r="K6" s="216" t="s">
        <v>85</v>
      </c>
      <c r="M6" s="191" t="s">
        <v>81</v>
      </c>
    </row>
    <row r="7" spans="1:19">
      <c r="A7" s="215">
        <v>6</v>
      </c>
      <c r="B7" s="216" t="s">
        <v>72</v>
      </c>
      <c r="C7" s="216" t="s">
        <v>77</v>
      </c>
      <c r="E7" s="203">
        <v>6</v>
      </c>
      <c r="F7" s="203" t="s">
        <v>118</v>
      </c>
      <c r="G7" s="216" t="s">
        <v>124</v>
      </c>
      <c r="I7" s="203">
        <v>6</v>
      </c>
      <c r="J7" s="203" t="s">
        <v>81</v>
      </c>
      <c r="K7" s="216" t="s">
        <v>86</v>
      </c>
    </row>
    <row r="8" spans="1:19">
      <c r="A8" s="215">
        <v>7</v>
      </c>
      <c r="B8" s="216" t="s">
        <v>72</v>
      </c>
      <c r="C8" s="216" t="s">
        <v>217</v>
      </c>
      <c r="E8" s="203">
        <v>7</v>
      </c>
      <c r="F8" s="203" t="s">
        <v>118</v>
      </c>
      <c r="G8" s="216" t="s">
        <v>218</v>
      </c>
      <c r="I8" s="203">
        <v>7</v>
      </c>
      <c r="J8" s="203" t="s">
        <v>81</v>
      </c>
      <c r="K8" s="216" t="s">
        <v>87</v>
      </c>
    </row>
    <row r="9" spans="1:19">
      <c r="A9" s="215">
        <v>8</v>
      </c>
      <c r="B9" s="216" t="s">
        <v>72</v>
      </c>
      <c r="C9" s="216" t="s">
        <v>78</v>
      </c>
      <c r="E9" s="203">
        <v>8</v>
      </c>
      <c r="F9" s="203" t="s">
        <v>118</v>
      </c>
      <c r="G9" s="216" t="s">
        <v>125</v>
      </c>
      <c r="I9" s="203">
        <v>8</v>
      </c>
      <c r="J9" s="203" t="s">
        <v>81</v>
      </c>
      <c r="K9" s="216" t="s">
        <v>140</v>
      </c>
    </row>
    <row r="10" spans="1:19">
      <c r="A10" s="215">
        <v>9</v>
      </c>
      <c r="B10" s="217" t="s">
        <v>79</v>
      </c>
      <c r="C10" s="217" t="s">
        <v>80</v>
      </c>
      <c r="E10" s="203">
        <v>9</v>
      </c>
      <c r="F10" s="203" t="s">
        <v>118</v>
      </c>
      <c r="G10" s="216" t="s">
        <v>219</v>
      </c>
      <c r="I10" s="203">
        <v>9</v>
      </c>
      <c r="J10" s="203" t="s">
        <v>81</v>
      </c>
      <c r="K10" s="216" t="s">
        <v>88</v>
      </c>
    </row>
    <row r="11" spans="1:19">
      <c r="A11" s="215">
        <v>10</v>
      </c>
      <c r="B11" s="217" t="s">
        <v>79</v>
      </c>
      <c r="C11" s="217" t="s">
        <v>220</v>
      </c>
      <c r="E11" s="203">
        <v>10</v>
      </c>
      <c r="F11" s="203" t="s">
        <v>118</v>
      </c>
      <c r="G11" s="216" t="s">
        <v>221</v>
      </c>
      <c r="I11" s="203">
        <v>10</v>
      </c>
      <c r="J11" s="203" t="s">
        <v>81</v>
      </c>
      <c r="K11" s="216" t="s">
        <v>89</v>
      </c>
    </row>
    <row r="12" spans="1:19">
      <c r="A12" s="215">
        <v>11</v>
      </c>
      <c r="B12" s="216" t="s">
        <v>81</v>
      </c>
      <c r="C12" s="216" t="s">
        <v>82</v>
      </c>
      <c r="I12" s="203">
        <v>11</v>
      </c>
      <c r="J12" s="203" t="s">
        <v>81</v>
      </c>
      <c r="K12" s="216" t="s">
        <v>90</v>
      </c>
    </row>
    <row r="13" spans="1:19">
      <c r="A13" s="215">
        <v>12</v>
      </c>
      <c r="B13" s="216" t="s">
        <v>81</v>
      </c>
      <c r="C13" s="216" t="s">
        <v>139</v>
      </c>
      <c r="I13" s="203">
        <v>12</v>
      </c>
      <c r="J13" s="203" t="s">
        <v>81</v>
      </c>
      <c r="K13" s="216" t="s">
        <v>91</v>
      </c>
    </row>
    <row r="14" spans="1:19">
      <c r="A14" s="215">
        <v>13</v>
      </c>
      <c r="B14" s="216" t="s">
        <v>81</v>
      </c>
      <c r="C14" s="216" t="s">
        <v>83</v>
      </c>
      <c r="I14" s="203">
        <v>13</v>
      </c>
      <c r="J14" s="203" t="s">
        <v>81</v>
      </c>
      <c r="K14" s="216" t="s">
        <v>92</v>
      </c>
      <c r="N14" s="42"/>
    </row>
    <row r="15" spans="1:19">
      <c r="A15" s="215">
        <v>14</v>
      </c>
      <c r="B15" s="216" t="s">
        <v>81</v>
      </c>
      <c r="C15" s="216" t="s">
        <v>84</v>
      </c>
      <c r="I15" s="203">
        <v>14</v>
      </c>
      <c r="J15" s="203" t="s">
        <v>81</v>
      </c>
      <c r="K15" s="216" t="s">
        <v>93</v>
      </c>
    </row>
    <row r="16" spans="1:19">
      <c r="A16" s="215">
        <v>15</v>
      </c>
      <c r="B16" s="216" t="s">
        <v>81</v>
      </c>
      <c r="C16" s="216" t="s">
        <v>85</v>
      </c>
      <c r="H16" s="218"/>
      <c r="I16" s="203">
        <v>15</v>
      </c>
      <c r="J16" s="203" t="s">
        <v>81</v>
      </c>
      <c r="K16" s="216" t="s">
        <v>94</v>
      </c>
    </row>
    <row r="17" spans="1:11">
      <c r="A17" s="215">
        <v>16</v>
      </c>
      <c r="B17" s="216" t="s">
        <v>81</v>
      </c>
      <c r="C17" s="216" t="s">
        <v>86</v>
      </c>
      <c r="H17" s="218"/>
      <c r="I17" s="203">
        <v>16</v>
      </c>
      <c r="J17" s="203" t="s">
        <v>81</v>
      </c>
      <c r="K17" s="216" t="s">
        <v>141</v>
      </c>
    </row>
    <row r="18" spans="1:11">
      <c r="A18" s="215">
        <v>17</v>
      </c>
      <c r="B18" s="216" t="s">
        <v>81</v>
      </c>
      <c r="C18" s="216" t="s">
        <v>87</v>
      </c>
      <c r="H18" s="218"/>
      <c r="I18" s="203">
        <v>17</v>
      </c>
      <c r="J18" s="203" t="s">
        <v>81</v>
      </c>
      <c r="K18" s="216" t="s">
        <v>142</v>
      </c>
    </row>
    <row r="19" spans="1:11">
      <c r="A19" s="215">
        <v>18</v>
      </c>
      <c r="B19" s="216" t="s">
        <v>81</v>
      </c>
      <c r="C19" s="216" t="s">
        <v>140</v>
      </c>
      <c r="H19" s="218"/>
      <c r="I19" s="203">
        <v>18</v>
      </c>
      <c r="J19" s="203" t="s">
        <v>81</v>
      </c>
      <c r="K19" s="216" t="s">
        <v>95</v>
      </c>
    </row>
    <row r="20" spans="1:11">
      <c r="A20" s="215">
        <v>19</v>
      </c>
      <c r="B20" s="216" t="s">
        <v>81</v>
      </c>
      <c r="C20" s="216" t="s">
        <v>88</v>
      </c>
      <c r="H20" s="218"/>
      <c r="I20" s="203">
        <v>19</v>
      </c>
      <c r="J20" s="203" t="s">
        <v>81</v>
      </c>
      <c r="K20" s="216" t="s">
        <v>96</v>
      </c>
    </row>
    <row r="21" spans="1:11">
      <c r="A21" s="215">
        <v>20</v>
      </c>
      <c r="B21" s="216" t="s">
        <v>81</v>
      </c>
      <c r="C21" s="216" t="s">
        <v>89</v>
      </c>
      <c r="H21" s="218"/>
      <c r="I21" s="203">
        <v>20</v>
      </c>
      <c r="J21" s="203" t="s">
        <v>81</v>
      </c>
      <c r="K21" s="216" t="s">
        <v>97</v>
      </c>
    </row>
    <row r="22" spans="1:11">
      <c r="A22" s="215">
        <v>21</v>
      </c>
      <c r="B22" s="216" t="s">
        <v>81</v>
      </c>
      <c r="C22" s="216" t="s">
        <v>90</v>
      </c>
      <c r="H22" s="218"/>
      <c r="I22" s="203">
        <v>21</v>
      </c>
      <c r="J22" s="203" t="s">
        <v>81</v>
      </c>
      <c r="K22" s="216" t="s">
        <v>98</v>
      </c>
    </row>
    <row r="23" spans="1:11">
      <c r="A23" s="215">
        <v>22</v>
      </c>
      <c r="B23" s="216" t="s">
        <v>81</v>
      </c>
      <c r="C23" s="216" t="s">
        <v>91</v>
      </c>
      <c r="H23" s="218"/>
      <c r="I23" s="203">
        <v>22</v>
      </c>
      <c r="J23" s="203" t="s">
        <v>81</v>
      </c>
      <c r="K23" s="216" t="s">
        <v>99</v>
      </c>
    </row>
    <row r="24" spans="1:11">
      <c r="A24" s="215">
        <v>23</v>
      </c>
      <c r="B24" s="216" t="s">
        <v>81</v>
      </c>
      <c r="C24" s="216" t="s">
        <v>92</v>
      </c>
      <c r="H24" s="218"/>
      <c r="I24" s="203">
        <v>23</v>
      </c>
      <c r="J24" s="203" t="s">
        <v>81</v>
      </c>
      <c r="K24" s="216" t="s">
        <v>100</v>
      </c>
    </row>
    <row r="25" spans="1:11">
      <c r="A25" s="215">
        <v>24</v>
      </c>
      <c r="B25" s="216" t="s">
        <v>81</v>
      </c>
      <c r="C25" s="216" t="s">
        <v>93</v>
      </c>
      <c r="H25" s="218"/>
      <c r="I25" s="203">
        <v>24</v>
      </c>
      <c r="J25" s="203" t="s">
        <v>81</v>
      </c>
      <c r="K25" s="216" t="s">
        <v>101</v>
      </c>
    </row>
    <row r="26" spans="1:11">
      <c r="A26" s="215">
        <v>25</v>
      </c>
      <c r="B26" s="216" t="s">
        <v>81</v>
      </c>
      <c r="C26" s="216" t="s">
        <v>94</v>
      </c>
      <c r="I26" s="203">
        <v>25</v>
      </c>
      <c r="J26" s="203" t="s">
        <v>81</v>
      </c>
      <c r="K26" s="216" t="s">
        <v>102</v>
      </c>
    </row>
    <row r="27" spans="1:11">
      <c r="A27" s="215">
        <v>26</v>
      </c>
      <c r="B27" s="216" t="s">
        <v>81</v>
      </c>
      <c r="C27" s="216" t="s">
        <v>141</v>
      </c>
      <c r="I27" s="203">
        <v>26</v>
      </c>
      <c r="J27" s="203" t="s">
        <v>81</v>
      </c>
      <c r="K27" s="216" t="s">
        <v>143</v>
      </c>
    </row>
    <row r="28" spans="1:11">
      <c r="A28" s="215">
        <v>27</v>
      </c>
      <c r="B28" s="216" t="s">
        <v>81</v>
      </c>
      <c r="C28" s="216" t="s">
        <v>142</v>
      </c>
      <c r="I28" s="203">
        <v>27</v>
      </c>
      <c r="J28" s="203" t="s">
        <v>81</v>
      </c>
      <c r="K28" s="216" t="s">
        <v>144</v>
      </c>
    </row>
    <row r="29" spans="1:11">
      <c r="A29" s="215">
        <v>28</v>
      </c>
      <c r="B29" s="216" t="s">
        <v>81</v>
      </c>
      <c r="C29" s="216" t="s">
        <v>95</v>
      </c>
      <c r="I29" s="203">
        <v>28</v>
      </c>
      <c r="J29" s="203" t="s">
        <v>81</v>
      </c>
      <c r="K29" s="216" t="s">
        <v>103</v>
      </c>
    </row>
    <row r="30" spans="1:11">
      <c r="A30" s="215">
        <v>29</v>
      </c>
      <c r="B30" s="216" t="s">
        <v>81</v>
      </c>
      <c r="C30" s="216" t="s">
        <v>96</v>
      </c>
      <c r="I30" s="203">
        <v>29</v>
      </c>
      <c r="J30" s="203" t="s">
        <v>81</v>
      </c>
      <c r="K30" s="216" t="s">
        <v>104</v>
      </c>
    </row>
    <row r="31" spans="1:11">
      <c r="A31" s="215">
        <v>30</v>
      </c>
      <c r="B31" s="216" t="s">
        <v>81</v>
      </c>
      <c r="C31" s="216" t="s">
        <v>97</v>
      </c>
      <c r="I31" s="203">
        <v>30</v>
      </c>
      <c r="J31" s="203" t="s">
        <v>81</v>
      </c>
      <c r="K31" s="216" t="s">
        <v>222</v>
      </c>
    </row>
    <row r="32" spans="1:11">
      <c r="A32" s="215">
        <v>31</v>
      </c>
      <c r="B32" s="216" t="s">
        <v>81</v>
      </c>
      <c r="C32" s="216" t="s">
        <v>98</v>
      </c>
    </row>
    <row r="33" spans="1:7">
      <c r="A33" s="215">
        <v>32</v>
      </c>
      <c r="B33" s="216" t="s">
        <v>81</v>
      </c>
      <c r="C33" s="216" t="s">
        <v>99</v>
      </c>
    </row>
    <row r="34" spans="1:7">
      <c r="A34" s="215">
        <v>33</v>
      </c>
      <c r="B34" s="216" t="s">
        <v>81</v>
      </c>
      <c r="C34" s="216" t="s">
        <v>100</v>
      </c>
      <c r="G34" s="2"/>
    </row>
    <row r="35" spans="1:7">
      <c r="A35" s="215">
        <v>34</v>
      </c>
      <c r="B35" s="216" t="s">
        <v>81</v>
      </c>
      <c r="C35" s="216" t="s">
        <v>101</v>
      </c>
      <c r="G35" s="2"/>
    </row>
    <row r="36" spans="1:7">
      <c r="A36" s="215">
        <v>35</v>
      </c>
      <c r="B36" s="216" t="s">
        <v>81</v>
      </c>
      <c r="C36" s="216" t="s">
        <v>102</v>
      </c>
      <c r="G36" s="2"/>
    </row>
    <row r="37" spans="1:7">
      <c r="A37" s="215">
        <v>36</v>
      </c>
      <c r="B37" s="216" t="s">
        <v>81</v>
      </c>
      <c r="C37" s="216" t="s">
        <v>143</v>
      </c>
      <c r="G37" s="2"/>
    </row>
    <row r="38" spans="1:7">
      <c r="A38" s="215">
        <v>37</v>
      </c>
      <c r="B38" s="216" t="s">
        <v>81</v>
      </c>
      <c r="C38" s="216" t="s">
        <v>144</v>
      </c>
      <c r="G38" s="2"/>
    </row>
    <row r="39" spans="1:7">
      <c r="A39" s="215">
        <v>38</v>
      </c>
      <c r="B39" s="216" t="s">
        <v>81</v>
      </c>
      <c r="C39" s="216" t="s">
        <v>103</v>
      </c>
    </row>
    <row r="40" spans="1:7">
      <c r="A40" s="215">
        <v>39</v>
      </c>
      <c r="B40" s="216" t="s">
        <v>81</v>
      </c>
      <c r="C40" s="216" t="s">
        <v>104</v>
      </c>
    </row>
    <row r="41" spans="1:7">
      <c r="A41" s="215">
        <v>40</v>
      </c>
      <c r="B41" s="216" t="s">
        <v>81</v>
      </c>
      <c r="C41" s="216" t="s">
        <v>222</v>
      </c>
    </row>
    <row r="42" spans="1:7">
      <c r="A42" s="215">
        <v>41</v>
      </c>
      <c r="B42" s="216" t="s">
        <v>105</v>
      </c>
      <c r="C42" s="216" t="s">
        <v>106</v>
      </c>
    </row>
    <row r="43" spans="1:7">
      <c r="A43" s="215">
        <v>42</v>
      </c>
      <c r="B43" s="216" t="s">
        <v>105</v>
      </c>
      <c r="C43" s="216" t="s">
        <v>107</v>
      </c>
    </row>
    <row r="44" spans="1:7">
      <c r="A44" s="215">
        <v>43</v>
      </c>
      <c r="B44" s="216" t="s">
        <v>105</v>
      </c>
      <c r="C44" s="216" t="s">
        <v>145</v>
      </c>
    </row>
    <row r="45" spans="1:7">
      <c r="A45" s="215">
        <v>44</v>
      </c>
      <c r="B45" s="216" t="s">
        <v>105</v>
      </c>
      <c r="C45" s="216" t="s">
        <v>108</v>
      </c>
    </row>
    <row r="46" spans="1:7">
      <c r="A46" s="215">
        <v>45</v>
      </c>
      <c r="B46" s="216" t="s">
        <v>105</v>
      </c>
      <c r="C46" s="216" t="s">
        <v>109</v>
      </c>
    </row>
    <row r="47" spans="1:7">
      <c r="A47" s="215">
        <v>46</v>
      </c>
      <c r="B47" s="216" t="s">
        <v>105</v>
      </c>
      <c r="C47" s="216" t="s">
        <v>223</v>
      </c>
    </row>
    <row r="48" spans="1:7">
      <c r="A48" s="215">
        <v>47</v>
      </c>
      <c r="B48" s="216" t="s">
        <v>105</v>
      </c>
      <c r="C48" s="216" t="s">
        <v>110</v>
      </c>
    </row>
    <row r="49" spans="1:3">
      <c r="A49" s="215">
        <v>48</v>
      </c>
      <c r="B49" s="216" t="s">
        <v>111</v>
      </c>
      <c r="C49" s="216" t="s">
        <v>112</v>
      </c>
    </row>
    <row r="50" spans="1:3">
      <c r="A50" s="215">
        <v>49</v>
      </c>
      <c r="B50" s="217" t="s">
        <v>113</v>
      </c>
      <c r="C50" s="217" t="s">
        <v>146</v>
      </c>
    </row>
    <row r="51" spans="1:3">
      <c r="A51" s="215">
        <v>50</v>
      </c>
      <c r="B51" s="217" t="s">
        <v>113</v>
      </c>
      <c r="C51" s="217" t="s">
        <v>224</v>
      </c>
    </row>
    <row r="52" spans="1:3">
      <c r="A52" s="215">
        <v>51</v>
      </c>
      <c r="B52" s="217" t="s">
        <v>113</v>
      </c>
      <c r="C52" s="217" t="s">
        <v>114</v>
      </c>
    </row>
    <row r="53" spans="1:3">
      <c r="A53" s="215">
        <v>52</v>
      </c>
      <c r="B53" s="217" t="s">
        <v>113</v>
      </c>
      <c r="C53" s="217" t="s">
        <v>195</v>
      </c>
    </row>
    <row r="54" spans="1:3">
      <c r="A54" s="215">
        <v>53</v>
      </c>
      <c r="B54" s="217" t="s">
        <v>113</v>
      </c>
      <c r="C54" s="217" t="s">
        <v>115</v>
      </c>
    </row>
    <row r="55" spans="1:3">
      <c r="A55" s="215">
        <v>54</v>
      </c>
      <c r="B55" s="217" t="s">
        <v>113</v>
      </c>
      <c r="C55" s="217" t="s">
        <v>116</v>
      </c>
    </row>
    <row r="56" spans="1:3">
      <c r="A56" s="215">
        <v>55</v>
      </c>
      <c r="B56" s="217" t="s">
        <v>113</v>
      </c>
      <c r="C56" s="217" t="s">
        <v>117</v>
      </c>
    </row>
    <row r="57" spans="1:3">
      <c r="A57" s="215">
        <v>56</v>
      </c>
      <c r="B57" s="216" t="s">
        <v>118</v>
      </c>
      <c r="C57" s="216" t="s">
        <v>119</v>
      </c>
    </row>
    <row r="58" spans="1:3">
      <c r="A58" s="215">
        <v>57</v>
      </c>
      <c r="B58" s="216" t="s">
        <v>118</v>
      </c>
      <c r="C58" s="216" t="s">
        <v>120</v>
      </c>
    </row>
    <row r="59" spans="1:3">
      <c r="A59" s="215">
        <v>58</v>
      </c>
      <c r="B59" s="216" t="s">
        <v>118</v>
      </c>
      <c r="C59" s="216" t="s">
        <v>121</v>
      </c>
    </row>
    <row r="60" spans="1:3">
      <c r="A60" s="215">
        <v>59</v>
      </c>
      <c r="B60" s="216" t="s">
        <v>118</v>
      </c>
      <c r="C60" s="216" t="s">
        <v>122</v>
      </c>
    </row>
    <row r="61" spans="1:3">
      <c r="A61" s="215">
        <v>60</v>
      </c>
      <c r="B61" s="216" t="s">
        <v>118</v>
      </c>
      <c r="C61" s="216" t="s">
        <v>123</v>
      </c>
    </row>
    <row r="62" spans="1:3">
      <c r="A62" s="215">
        <v>61</v>
      </c>
      <c r="B62" s="216" t="s">
        <v>118</v>
      </c>
      <c r="C62" s="216" t="s">
        <v>124</v>
      </c>
    </row>
    <row r="63" spans="1:3">
      <c r="A63" s="215">
        <v>62</v>
      </c>
      <c r="B63" s="216" t="s">
        <v>118</v>
      </c>
      <c r="C63" s="216" t="s">
        <v>218</v>
      </c>
    </row>
    <row r="64" spans="1:3">
      <c r="A64" s="215">
        <v>63</v>
      </c>
      <c r="B64" s="216" t="s">
        <v>118</v>
      </c>
      <c r="C64" s="216" t="s">
        <v>125</v>
      </c>
    </row>
    <row r="65" spans="1:3">
      <c r="A65" s="215">
        <v>64</v>
      </c>
      <c r="B65" s="216" t="s">
        <v>118</v>
      </c>
      <c r="C65" s="216" t="s">
        <v>219</v>
      </c>
    </row>
    <row r="66" spans="1:3">
      <c r="A66" s="215">
        <v>65</v>
      </c>
      <c r="B66" s="216" t="s">
        <v>118</v>
      </c>
      <c r="C66" s="216" t="s">
        <v>221</v>
      </c>
    </row>
    <row r="67" spans="1:3">
      <c r="A67" s="215">
        <v>66</v>
      </c>
      <c r="B67" s="216" t="s">
        <v>126</v>
      </c>
      <c r="C67" s="216" t="s">
        <v>127</v>
      </c>
    </row>
    <row r="68" spans="1:3">
      <c r="A68" s="215">
        <v>67</v>
      </c>
      <c r="B68" s="216" t="s">
        <v>128</v>
      </c>
      <c r="C68" s="216" t="s">
        <v>129</v>
      </c>
    </row>
    <row r="69" spans="1:3">
      <c r="A69" s="215">
        <v>68</v>
      </c>
      <c r="B69" s="216" t="s">
        <v>130</v>
      </c>
      <c r="C69" s="216" t="s">
        <v>131</v>
      </c>
    </row>
    <row r="70" spans="1:3">
      <c r="A70" s="215">
        <v>69</v>
      </c>
      <c r="B70" s="216" t="s">
        <v>130</v>
      </c>
      <c r="C70" s="216" t="s">
        <v>132</v>
      </c>
    </row>
    <row r="71" spans="1:3">
      <c r="A71" s="215">
        <v>70</v>
      </c>
      <c r="B71" s="216" t="s">
        <v>130</v>
      </c>
      <c r="C71" s="216" t="s">
        <v>133</v>
      </c>
    </row>
    <row r="72" spans="1:3">
      <c r="A72" s="215">
        <v>71</v>
      </c>
      <c r="B72" s="216" t="s">
        <v>130</v>
      </c>
      <c r="C72" s="216" t="s">
        <v>134</v>
      </c>
    </row>
    <row r="73" spans="1:3">
      <c r="A73" s="215">
        <v>72</v>
      </c>
      <c r="B73" s="216" t="s">
        <v>130</v>
      </c>
      <c r="C73" s="216" t="s">
        <v>135</v>
      </c>
    </row>
    <row r="74" spans="1:3">
      <c r="A74" s="215">
        <v>73</v>
      </c>
      <c r="B74" s="216" t="s">
        <v>130</v>
      </c>
      <c r="C74" s="216" t="s">
        <v>225</v>
      </c>
    </row>
    <row r="75" spans="1:3">
      <c r="A75" s="215">
        <v>74</v>
      </c>
      <c r="B75" s="216" t="s">
        <v>130</v>
      </c>
      <c r="C75" s="216" t="s">
        <v>226</v>
      </c>
    </row>
    <row r="76" spans="1:3">
      <c r="A76" s="215">
        <v>75</v>
      </c>
      <c r="B76" s="191" t="s">
        <v>227</v>
      </c>
      <c r="C76" s="191" t="s">
        <v>135</v>
      </c>
    </row>
    <row r="77" spans="1:3">
      <c r="A77" s="215">
        <v>76</v>
      </c>
      <c r="B77" s="191" t="s">
        <v>228</v>
      </c>
      <c r="C77" s="191" t="s">
        <v>229</v>
      </c>
    </row>
  </sheetData>
  <sortState xmlns:xlrd2="http://schemas.microsoft.com/office/spreadsheetml/2017/richdata2" ref="A2:C14">
    <sortCondition ref="A1:A1048547"/>
  </sortState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1"/>
  <dimension ref="A1:G512"/>
  <sheetViews>
    <sheetView workbookViewId="0">
      <selection activeCell="A3" sqref="A3"/>
    </sheetView>
  </sheetViews>
  <sheetFormatPr baseColWidth="10" defaultColWidth="11.42578125" defaultRowHeight="15"/>
  <cols>
    <col min="1" max="1" width="19.5703125" style="117" bestFit="1" customWidth="1"/>
    <col min="2" max="2" width="50.42578125" style="117" bestFit="1" customWidth="1"/>
    <col min="3" max="3" width="16.42578125" style="117" bestFit="1" customWidth="1"/>
    <col min="4" max="5" width="11.42578125" style="117" customWidth="1"/>
    <col min="6" max="16384" width="11.42578125" style="117"/>
  </cols>
  <sheetData>
    <row r="1" spans="1:7">
      <c r="A1" s="117" t="s">
        <v>230</v>
      </c>
      <c r="B1" s="117" t="s">
        <v>231</v>
      </c>
      <c r="C1" s="117" t="s">
        <v>171</v>
      </c>
    </row>
    <row r="2" spans="1:7">
      <c r="A2" s="117" t="s">
        <v>9</v>
      </c>
      <c r="B2" s="117" t="s">
        <v>9</v>
      </c>
      <c r="C2" s="117" t="s">
        <v>232</v>
      </c>
    </row>
    <row r="4" spans="1:7">
      <c r="G4" s="38"/>
    </row>
    <row r="416" spans="1:3">
      <c r="A416" s="192"/>
      <c r="B416" s="192"/>
      <c r="C416" s="192"/>
    </row>
    <row r="438" spans="1:3">
      <c r="A438" s="192"/>
      <c r="B438" s="192"/>
      <c r="C438" s="192"/>
    </row>
    <row r="441" spans="1:3">
      <c r="A441" s="192"/>
      <c r="B441" s="192"/>
      <c r="C441" s="192"/>
    </row>
    <row r="456" spans="1:3">
      <c r="A456" s="192"/>
      <c r="B456" s="192"/>
      <c r="C456" s="192"/>
    </row>
    <row r="478" spans="1:3">
      <c r="A478" s="192"/>
      <c r="B478" s="192"/>
      <c r="C478" s="192"/>
    </row>
    <row r="481" spans="1:3">
      <c r="A481" s="192"/>
      <c r="B481" s="192"/>
      <c r="C481" s="192"/>
    </row>
    <row r="494" spans="1:3">
      <c r="A494" s="54"/>
      <c r="B494" s="54"/>
      <c r="C494" s="54"/>
    </row>
    <row r="495" spans="1:3">
      <c r="A495" s="54"/>
      <c r="B495" s="54"/>
      <c r="C495" s="54"/>
    </row>
    <row r="496" spans="1:3">
      <c r="A496" s="54"/>
      <c r="B496" s="54"/>
      <c r="C496" s="54"/>
    </row>
    <row r="497" spans="1:3">
      <c r="A497" s="54"/>
      <c r="B497" s="54"/>
      <c r="C497" s="54"/>
    </row>
    <row r="498" spans="1:3">
      <c r="A498" s="54"/>
      <c r="B498" s="54"/>
      <c r="C498" s="54"/>
    </row>
    <row r="499" spans="1:3">
      <c r="A499" s="54"/>
      <c r="B499" s="54"/>
      <c r="C499" s="54"/>
    </row>
    <row r="500" spans="1:3">
      <c r="A500" s="54"/>
      <c r="B500" s="54"/>
      <c r="C500" s="54"/>
    </row>
    <row r="501" spans="1:3">
      <c r="A501" s="54"/>
      <c r="B501" s="54"/>
      <c r="C501" s="54"/>
    </row>
    <row r="502" spans="1:3">
      <c r="A502" s="54"/>
      <c r="B502" s="54"/>
      <c r="C502" s="54"/>
    </row>
    <row r="503" spans="1:3">
      <c r="A503" s="54"/>
      <c r="B503" s="54"/>
      <c r="C503" s="54"/>
    </row>
    <row r="504" spans="1:3">
      <c r="A504" s="192"/>
      <c r="B504" s="192"/>
      <c r="C504" s="192"/>
    </row>
    <row r="505" spans="1:3">
      <c r="A505" s="192"/>
      <c r="B505" s="192"/>
      <c r="C505" s="192"/>
    </row>
    <row r="506" spans="1:3">
      <c r="A506" s="192"/>
      <c r="B506" s="192"/>
      <c r="C506" s="192"/>
    </row>
    <row r="507" spans="1:3">
      <c r="A507" s="192"/>
      <c r="B507" s="192"/>
      <c r="C507" s="192"/>
    </row>
    <row r="508" spans="1:3">
      <c r="A508" s="192"/>
      <c r="B508" s="192"/>
      <c r="C508" s="192"/>
    </row>
    <row r="509" spans="1:3">
      <c r="A509" s="192"/>
      <c r="B509" s="192"/>
      <c r="C509" s="192"/>
    </row>
    <row r="512" spans="1:3">
      <c r="C512" s="19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18</vt:i4>
      </vt:variant>
    </vt:vector>
  </HeadingPairs>
  <TitlesOfParts>
    <vt:vector size="18" baseType="lpstr">
      <vt:lpstr>Page de garde</vt:lpstr>
      <vt:lpstr>Résultats</vt:lpstr>
      <vt:lpstr>Evolution effectifs</vt:lpstr>
      <vt:lpstr>Démographie</vt:lpstr>
      <vt:lpstr>Prestations Réglées</vt:lpstr>
      <vt:lpstr>Prestations Réglées N et N-1</vt:lpstr>
      <vt:lpstr>Prestations Réglées Graph</vt:lpstr>
      <vt:lpstr>Prestations Réglées_OPTIQUE</vt:lpstr>
      <vt:lpstr>Prestations Réglées_DENTAIRE</vt:lpstr>
      <vt:lpstr>Erreurs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COLLEGE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2021-04-18T12:33:59Z</cp:lastPrinted>
  <dcterms:created xsi:type="dcterms:W3CDTF">2017-05-24T08:26:58Z</dcterms:created>
  <dcterms:modified xsi:type="dcterms:W3CDTF">2021-04-20T17:24:28Z</dcterms:modified>
</cp:coreProperties>
</file>