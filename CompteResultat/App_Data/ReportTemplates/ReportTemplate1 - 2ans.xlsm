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drawings/drawing20.xml" ContentType="application/vnd.openxmlformats-officedocument.drawing+xml"/>
  <Override PartName="/xl/charts/chart10.xml" ContentType="application/vnd.openxmlformats-officedocument.drawingml.chart+xml"/>
  <Override PartName="/xl/theme/themeOverride7.xml" ContentType="application/vnd.openxmlformats-officedocument.themeOverride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"/>
    </mc:Choice>
  </mc:AlternateContent>
  <bookViews>
    <workbookView xWindow="-120" yWindow="-120" windowWidth="25440" windowHeight="14775" firstSheet="21" activeTab="26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31" r:id="rId6"/>
    <sheet name="AUTRE" sheetId="79" r:id="rId7"/>
    <sheet name="CURE" sheetId="80" r:id="rId8"/>
    <sheet name="DENTA" sheetId="81" r:id="rId9"/>
    <sheet name="HOSPI" sheetId="82" r:id="rId10"/>
    <sheet name="MATER" sheetId="83" r:id="rId11"/>
    <sheet name="NON D" sheetId="84" r:id="rId12"/>
    <sheet name="OPTIQ" sheetId="85" r:id="rId13"/>
    <sheet name="PHARM" sheetId="86" r:id="rId14"/>
    <sheet name="PREVE" sheetId="87" r:id="rId15"/>
    <sheet name="SOINS" sheetId="88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COLLEGE" sheetId="26" r:id="rId29"/>
    <sheet name="Erreurs" sheetId="36" r:id="rId30"/>
  </sheets>
  <functionGroups builtInGroupCount="18"/>
  <definedNames>
    <definedName name="_xlnm._FilterDatabase" localSheetId="24" hidden="1">'DATA EXP'!$A$1:$Q$1</definedName>
    <definedName name="_xlnm._FilterDatabase" localSheetId="23" hidden="1">'DATA PREST'!$A$1:$R$1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8" i="45" l="1"/>
  <c r="C8" i="88" l="1"/>
  <c r="C8" i="87"/>
  <c r="C8" i="86"/>
  <c r="C8" i="85"/>
  <c r="C8" i="84"/>
  <c r="C8" i="83"/>
  <c r="C8" i="82"/>
  <c r="C8" i="81"/>
  <c r="C8" i="80"/>
  <c r="C8" i="79"/>
  <c r="Z25" i="45"/>
  <c r="Z24" i="45"/>
  <c r="Z23" i="45"/>
  <c r="Z22" i="45"/>
  <c r="Z21" i="45"/>
  <c r="AA20" i="45"/>
  <c r="AA21" i="45" s="1"/>
  <c r="AA22" i="45" s="1"/>
  <c r="AA23" i="45" s="1"/>
  <c r="AA24" i="45" s="1"/>
  <c r="AA25" i="45" s="1"/>
  <c r="Z20" i="45"/>
  <c r="X20" i="45"/>
  <c r="X21" i="45" s="1"/>
  <c r="X22" i="45" s="1"/>
  <c r="X23" i="45" s="1"/>
  <c r="X24" i="45" s="1"/>
  <c r="X25" i="45" s="1"/>
  <c r="W24" i="45"/>
  <c r="C8" i="45"/>
  <c r="Z22" i="41"/>
  <c r="V18" i="41"/>
  <c r="W23" i="41" s="1"/>
  <c r="C8" i="41"/>
  <c r="Z25" i="46"/>
  <c r="Z24" i="46"/>
  <c r="Z23" i="46"/>
  <c r="Z22" i="46"/>
  <c r="Z21" i="46"/>
  <c r="AA20" i="46"/>
  <c r="AA21" i="46" s="1"/>
  <c r="AA22" i="46" s="1"/>
  <c r="AA23" i="46" s="1"/>
  <c r="AA24" i="46" s="1"/>
  <c r="AA25" i="46" s="1"/>
  <c r="Z20" i="46"/>
  <c r="V18" i="46"/>
  <c r="W25" i="46" s="1"/>
  <c r="C8" i="46"/>
  <c r="C8" i="31"/>
  <c r="C8" i="47"/>
  <c r="C8" i="40"/>
  <c r="C8" i="21"/>
  <c r="E42" i="18"/>
  <c r="C8" i="18"/>
  <c r="C8" i="16"/>
  <c r="E13" i="14"/>
  <c r="C8" i="14"/>
  <c r="W20" i="41" l="1"/>
  <c r="W25" i="41"/>
  <c r="W21" i="41"/>
  <c r="W24" i="41"/>
  <c r="Z21" i="41"/>
  <c r="X20" i="41"/>
  <c r="X21" i="41" s="1"/>
  <c r="X22" i="41" s="1"/>
  <c r="X23" i="41" s="1"/>
  <c r="X24" i="41" s="1"/>
  <c r="X25" i="41" s="1"/>
  <c r="W22" i="41"/>
  <c r="Z25" i="41"/>
  <c r="AA20" i="41"/>
  <c r="AA21" i="41" s="1"/>
  <c r="AA22" i="41" s="1"/>
  <c r="AA23" i="41" s="1"/>
  <c r="AA24" i="41" s="1"/>
  <c r="AA25" i="41" s="1"/>
  <c r="W23" i="45"/>
  <c r="W24" i="46"/>
  <c r="W22" i="46"/>
  <c r="Z23" i="41"/>
  <c r="W21" i="45"/>
  <c r="W25" i="45"/>
  <c r="W23" i="46"/>
  <c r="Z20" i="41"/>
  <c r="Z24" i="41"/>
  <c r="W22" i="45"/>
  <c r="W20" i="46"/>
  <c r="X20" i="46"/>
  <c r="X21" i="46" s="1"/>
  <c r="X22" i="46" s="1"/>
  <c r="X23" i="46" s="1"/>
  <c r="X24" i="46" s="1"/>
  <c r="X25" i="46" s="1"/>
  <c r="W21" i="46"/>
  <c r="W20" i="45"/>
</calcChain>
</file>

<file path=xl/sharedStrings.xml><?xml version="1.0" encoding="utf-8"?>
<sst xmlns="http://schemas.openxmlformats.org/spreadsheetml/2006/main" count="900" uniqueCount="248">
  <si>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</si>
  <si>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</si>
  <si>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</si>
  <si>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</si>
  <si>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</si>
  <si>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</si>
  <si>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</si>
  <si>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</si>
  <si>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>Ens Pers</t>
  </si>
  <si>
    <t xml:space="preserve">Période analysée : </t>
  </si>
  <si>
    <t>Date d'arrêté des comptes :</t>
  </si>
  <si>
    <t>31 décembre 2020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</si>
  <si>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</si>
  <si>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</si>
  <si>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</si>
  <si>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</si>
  <si>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</si>
  <si>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</si>
  <si>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</si>
  <si>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</si>
  <si>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</si>
  <si>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</si>
  <si>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</si>
  <si>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</si>
  <si>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</si>
  <si>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</si>
  <si>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</si>
  <si>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</si>
  <si>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</si>
  <si>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</si>
  <si>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</si>
  <si>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</si>
  <si>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</si>
  <si>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</si>
  <si>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</si>
  <si>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</si>
  <si>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</si>
  <si>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</si>
  <si>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</si>
  <si>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</si>
  <si>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</si>
  <si>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</si>
  <si>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</si>
  <si>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</si>
  <si>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</si>
  <si>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</si>
  <si>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</si>
  <si>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</si>
  <si>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</si>
  <si>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</si>
  <si>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</si>
  <si>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</si>
  <si>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</si>
  <si>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</si>
  <si>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</si>
  <si>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</si>
  <si>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</si>
  <si>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</si>
  <si>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</si>
  <si>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</si>
  <si>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</si>
  <si>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</si>
  <si>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</si>
  <si>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</si>
  <si>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</si>
  <si>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</si>
  <si>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</si>
  <si>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</si>
  <si>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</si>
  <si>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</si>
  <si>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</si>
  <si>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</si>
  <si>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</si>
  <si>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</si>
  <si>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</si>
  <si>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</si>
  <si>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</si>
  <si>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 xml:space="preserve">CURE </t>
  </si>
  <si>
    <t>CURE THERMALE</t>
  </si>
  <si>
    <t>CURES THERMALES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</si>
  <si>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</si>
  <si>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</si>
  <si>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</si>
  <si>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</si>
  <si>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</si>
  <si>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</si>
  <si>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</si>
  <si>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</si>
  <si>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</si>
  <si>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</si>
  <si>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</si>
  <si>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</si>
  <si>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</si>
  <si>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</si>
  <si>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</si>
  <si>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</si>
  <si>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</si>
  <si>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</si>
  <si>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</si>
  <si>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</si>
  <si>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</si>
  <si>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</si>
  <si>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REPAR. PROTH. ADJOINTE SIMPLE RAC 0</t>
  </si>
  <si>
    <t>REPARATION PROTHESE RAC MODERE</t>
  </si>
  <si>
    <t>SOINS DENTAIRES</t>
  </si>
  <si>
    <t>HOSPI</t>
  </si>
  <si>
    <t>ACTES DE CHIRUR  CETIP</t>
  </si>
  <si>
    <t>CHAMBRE PARTICULIERE</t>
  </si>
  <si>
    <t>FORFAIT JOURNALIER</t>
  </si>
  <si>
    <t>FRAIS D'ACCOMPAGNEMENT</t>
  </si>
  <si>
    <t>HONORAIRES</t>
  </si>
  <si>
    <t>HOSPITALISATION</t>
  </si>
  <si>
    <t>TRANSPORT</t>
  </si>
  <si>
    <t>MATER</t>
  </si>
  <si>
    <t>MATERNITE</t>
  </si>
  <si>
    <t>NON D</t>
  </si>
  <si>
    <t>FRAIS OBSEQUES</t>
  </si>
  <si>
    <t>HORS NOMENCLATURE</t>
  </si>
  <si>
    <t>PARTICIPATION ASSURE</t>
  </si>
  <si>
    <t>PRELEVEMENT      CETIP</t>
  </si>
  <si>
    <t>REPARATION ADJONCTION RAC 0</t>
  </si>
  <si>
    <t>OPTIQ</t>
  </si>
  <si>
    <t>CHIRURGIE DE L'ŒIL</t>
  </si>
  <si>
    <t>LENTILLES</t>
  </si>
  <si>
    <t>LUNETTES</t>
  </si>
  <si>
    <t>MONTURE</t>
  </si>
  <si>
    <t>MONTURE + VERRES ADULTE</t>
  </si>
  <si>
    <t>MONTURE + VERRES ENFANT</t>
  </si>
  <si>
    <t>OPTIQUE</t>
  </si>
  <si>
    <t>VERRES</t>
  </si>
  <si>
    <t>VERRES ADULTE CTRT RESP.(F)</t>
  </si>
  <si>
    <t>VERRES ENFANT CTRT RESP.(C)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</si>
  <si>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</si>
  <si>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</si>
  <si>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</si>
  <si>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</si>
  <si>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</si>
  <si>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</si>
  <si>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</si>
  <si>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</si>
  <si>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</si>
  <si>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</si>
  <si>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SOINS COURANTS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</si>
  <si>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</si>
  <si>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</si>
  <si>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</si>
  <si>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</si>
  <si>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</si>
  <si>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</si>
  <si>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</si>
  <si>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</si>
  <si>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</si>
  <si>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</si>
  <si>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</si>
  <si>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</si>
  <si>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</si>
  <si>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 xml:space="preserve"> Variation 2020 / 2019</t>
  </si>
  <si>
    <t>APPAREILLAGE REFUSE</t>
  </si>
  <si>
    <t>PRODUITS DIETETIQUES</t>
  </si>
  <si>
    <t>BRIDGE RAC MODERE</t>
  </si>
  <si>
    <t>IMPLANTOLOGIE</t>
  </si>
  <si>
    <t>PARODONTOLOGIE ACCEPTEE</t>
  </si>
  <si>
    <t>PARODONTOLOGIE REFUSEE</t>
  </si>
  <si>
    <t>PROTHESES DENTAIRES REFUSEES</t>
  </si>
  <si>
    <t>SUPPL. PROTH. METALLIQUE RAC MODERE</t>
  </si>
  <si>
    <t>100% FLUX</t>
  </si>
  <si>
    <t>GHS ETS MEDIC.SPEC.</t>
  </si>
  <si>
    <t>Numéro chronologique</t>
  </si>
  <si>
    <t>Traitement concerné</t>
  </si>
  <si>
    <t>Libellé Famille</t>
  </si>
  <si>
    <t>Libellé Acte</t>
  </si>
  <si>
    <t>Libellé de l'erreur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</si>
  <si>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</si>
  <si>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</si>
  <si>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</si>
  <si>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</si>
  <si>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</si>
  <si>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</si>
  <si>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</si>
  <si>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</si>
  <si>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</si>
  <si>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</si>
  <si>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</si>
  <si>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</si>
  <si>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</si>
  <si>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</si>
  <si>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</si>
  <si>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</si>
  <si>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</si>
  <si>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</si>
  <si>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</si>
  <si>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</si>
  <si>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</si>
  <si>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</si>
  <si>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</si>
  <si>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</si>
  <si>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</si>
  <si>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</si>
  <si>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</si>
  <si>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</si>
  <si>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</si>
  <si>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</si>
  <si>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</si>
  <si>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PROVISION</t>
  </si>
  <si>
    <t>Min</t>
  </si>
  <si>
    <t>Max</t>
  </si>
  <si>
    <t>Moyenne</t>
  </si>
  <si>
    <t>DATE DEBUT</t>
  </si>
  <si>
    <t>DATE FIN</t>
  </si>
  <si>
    <t>DATE D'ARRETE</t>
  </si>
  <si>
    <t>01/12/2019</t>
  </si>
  <si>
    <t>31/12/2020</t>
  </si>
  <si>
    <t>MAJO. DIMACETIP</t>
  </si>
  <si>
    <t>Code collège</t>
  </si>
  <si>
    <t>Libellé collège</t>
  </si>
  <si>
    <t>ACTIFS</t>
  </si>
  <si>
    <t>1 décembre 2019 au 31 décembre 2020</t>
  </si>
  <si>
    <t>AssureurName</t>
  </si>
  <si>
    <t>GroupName</t>
  </si>
  <si>
    <t>GarantyName</t>
  </si>
  <si>
    <t>KERIALIS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</si>
  <si>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</si>
  <si>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</si>
  <si>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</si>
  <si>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</si>
  <si>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</si>
  <si>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</si>
  <si>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</si>
  <si>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</si>
  <si>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Frais Réels Moyen par acte</t>
  </si>
  <si>
    <t>Remboursement KERIALIS Moyen par acte</t>
  </si>
  <si>
    <t>Coût minimum</t>
  </si>
  <si>
    <t>Coût maximum</t>
  </si>
  <si>
    <t>VOS PRESTATIONS MOYENNES AVEC MINIMUM ET MAXIMUM</t>
  </si>
  <si>
    <t xml:space="preserve">Frais Réèls Minimum </t>
  </si>
  <si>
    <t xml:space="preserve">Frais Réèls Maximum </t>
  </si>
  <si>
    <t>Remboursement KERIALIS Minimum</t>
  </si>
  <si>
    <t>Remboursement KERIALIS Maximum</t>
  </si>
  <si>
    <t>Remboursement KERIALIS moyen par acte</t>
  </si>
  <si>
    <t>colonne 1</t>
  </si>
  <si>
    <t>colonne 2</t>
  </si>
  <si>
    <t>Variation</t>
  </si>
  <si>
    <t>col 1 / col 2</t>
  </si>
  <si>
    <t>CURE</t>
  </si>
  <si>
    <t>Quartile 25%</t>
  </si>
  <si>
    <t>Quartile 50%</t>
  </si>
  <si>
    <t>Quartile 75%</t>
  </si>
  <si>
    <t>Quartile 90%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</si>
</sst>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#,##0.00\ _€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5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44" fontId="1" fillId="0" borderId="0"/>
  </cellStyleXfs>
  <cellXfs count="310">
    <xf numFmtId="0" fontId="0" fillId="0" borderId="0" xfId="0" applyNumberFormat="1" applyFont="1" applyFill="1" applyBorder="1"/>
    <xf numFmtId="0" fontId="3" fillId="0" borderId="0" xfId="3" applyNumberFormat="1" applyFont="1" applyFill="1" applyBorder="1"/>
    <xf numFmtId="0" fontId="25" fillId="0" borderId="0" xfId="5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6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3" applyNumberFormat="1" applyFont="1" applyFill="1" applyBorder="1" applyAlignment="1">
      <alignment horizontal="center" vertical="center"/>
    </xf>
    <xf numFmtId="9" fontId="5" fillId="0" borderId="2" xfId="8" applyNumberFormat="1" applyFont="1" applyFill="1" applyBorder="1" applyAlignment="1">
      <alignment horizontal="center" vertical="center"/>
    </xf>
    <xf numFmtId="0" fontId="6" fillId="2" borderId="0" xfId="6" applyNumberFormat="1" applyFont="1" applyFill="1" applyBorder="1" applyAlignment="1">
      <alignment vertical="center"/>
    </xf>
    <xf numFmtId="9" fontId="6" fillId="2" borderId="0" xfId="8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6" applyNumberFormat="1" applyFont="1" applyFill="1" applyBorder="1" applyAlignment="1">
      <alignment vertical="center" wrapText="1"/>
    </xf>
    <xf numFmtId="0" fontId="9" fillId="0" borderId="0" xfId="3" applyNumberFormat="1" applyFont="1" applyFill="1" applyBorder="1"/>
    <xf numFmtId="0" fontId="9" fillId="0" borderId="0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 vertical="center"/>
    </xf>
    <xf numFmtId="0" fontId="10" fillId="3" borderId="21" xfId="3" applyNumberFormat="1" applyFont="1" applyFill="1" applyBorder="1" applyAlignment="1">
      <alignment horizontal="center" vertical="center"/>
    </xf>
    <xf numFmtId="0" fontId="11" fillId="4" borderId="14" xfId="3" applyNumberFormat="1" applyFont="1" applyFill="1" applyBorder="1" applyAlignment="1">
      <alignment horizontal="center" vertical="center" wrapText="1"/>
    </xf>
    <xf numFmtId="0" fontId="9" fillId="0" borderId="16" xfId="3" applyNumberFormat="1" applyFont="1" applyFill="1" applyBorder="1" applyAlignment="1">
      <alignment horizontal="center" vertical="center"/>
    </xf>
    <xf numFmtId="1" fontId="9" fillId="0" borderId="17" xfId="3" applyNumberFormat="1" applyFont="1" applyFill="1" applyBorder="1" applyAlignment="1">
      <alignment horizontal="center" vertical="center"/>
    </xf>
    <xf numFmtId="0" fontId="10" fillId="3" borderId="24" xfId="3" applyNumberFormat="1" applyFont="1" applyFill="1" applyBorder="1" applyAlignment="1">
      <alignment horizontal="center" vertical="center"/>
    </xf>
    <xf numFmtId="1" fontId="10" fillId="3" borderId="25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/>
    </xf>
    <xf numFmtId="1" fontId="9" fillId="0" borderId="15" xfId="3" applyNumberFormat="1" applyFont="1" applyFill="1" applyBorder="1" applyAlignment="1">
      <alignment horizontal="center"/>
    </xf>
    <xf numFmtId="0" fontId="9" fillId="0" borderId="28" xfId="3" applyNumberFormat="1" applyFont="1" applyFill="1" applyBorder="1" applyAlignment="1">
      <alignment horizontal="center"/>
    </xf>
    <xf numFmtId="1" fontId="9" fillId="0" borderId="28" xfId="3" applyNumberFormat="1" applyFont="1" applyFill="1" applyBorder="1" applyAlignment="1">
      <alignment horizontal="center"/>
    </xf>
    <xf numFmtId="0" fontId="9" fillId="0" borderId="2" xfId="3" applyNumberFormat="1" applyFont="1" applyFill="1" applyBorder="1" applyAlignment="1">
      <alignment horizontal="center"/>
    </xf>
    <xf numFmtId="1" fontId="11" fillId="0" borderId="30" xfId="3" applyNumberFormat="1" applyFont="1" applyFill="1" applyBorder="1" applyAlignment="1">
      <alignment horizontal="center"/>
    </xf>
    <xf numFmtId="0" fontId="3" fillId="0" borderId="19" xfId="3" applyNumberFormat="1" applyFont="1" applyFill="1" applyBorder="1"/>
    <xf numFmtId="1" fontId="9" fillId="5" borderId="17" xfId="8" applyNumberFormat="1" applyFont="1" applyFill="1" applyBorder="1" applyAlignment="1">
      <alignment horizontal="center" vertical="center"/>
    </xf>
    <xf numFmtId="1" fontId="10" fillId="3" borderId="25" xfId="8" applyNumberFormat="1" applyFont="1" applyFill="1" applyBorder="1" applyAlignment="1">
      <alignment horizontal="center" vertical="center"/>
    </xf>
    <xf numFmtId="0" fontId="11" fillId="4" borderId="18" xfId="3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3" applyNumberFormat="1" applyFont="1" applyFill="1" applyBorder="1"/>
    <xf numFmtId="1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6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3" applyNumberFormat="1" applyFont="1" applyFill="1" applyBorder="1" applyAlignment="1">
      <alignment horizontal="center" vertical="center"/>
    </xf>
    <xf numFmtId="166" fontId="5" fillId="0" borderId="2" xfId="3" applyNumberFormat="1" applyFont="1" applyFill="1" applyBorder="1" applyAlignment="1">
      <alignment horizontal="center" vertical="center"/>
    </xf>
    <xf numFmtId="166" fontId="4" fillId="2" borderId="0" xfId="6" applyNumberFormat="1" applyFont="1" applyFill="1" applyBorder="1"/>
    <xf numFmtId="166" fontId="4" fillId="2" borderId="0" xfId="6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8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4" fontId="0" fillId="6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4" applyNumberFormat="1" applyFont="1" applyFill="1" applyBorder="1"/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4" fillId="2" borderId="0" xfId="4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4" applyNumberFormat="1" applyFont="1" applyFill="1" applyBorder="1"/>
    <xf numFmtId="0" fontId="9" fillId="0" borderId="16" xfId="4" applyNumberFormat="1" applyFont="1" applyFill="1" applyBorder="1" applyAlignment="1">
      <alignment horizontal="center"/>
    </xf>
    <xf numFmtId="9" fontId="9" fillId="0" borderId="17" xfId="8" applyNumberFormat="1" applyFont="1" applyFill="1" applyBorder="1" applyAlignment="1">
      <alignment horizontal="center"/>
    </xf>
    <xf numFmtId="0" fontId="9" fillId="0" borderId="47" xfId="4" applyNumberFormat="1" applyFont="1" applyFill="1" applyBorder="1" applyAlignment="1">
      <alignment horizontal="center"/>
    </xf>
    <xf numFmtId="9" fontId="9" fillId="0" borderId="49" xfId="8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left" vertical="center"/>
    </xf>
    <xf numFmtId="0" fontId="9" fillId="0" borderId="0" xfId="4" applyNumberFormat="1" applyFont="1" applyFill="1" applyBorder="1" applyAlignment="1">
      <alignment horizontal="center"/>
    </xf>
    <xf numFmtId="9" fontId="9" fillId="0" borderId="0" xfId="8" applyNumberFormat="1" applyFont="1" applyFill="1" applyBorder="1" applyAlignment="1">
      <alignment horizontal="center"/>
    </xf>
    <xf numFmtId="9" fontId="9" fillId="0" borderId="0" xfId="4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3" applyNumberFormat="1" applyFont="1" applyFill="1" applyBorder="1" applyAlignment="1">
      <alignment horizontal="right" vertical="center"/>
    </xf>
    <xf numFmtId="9" fontId="17" fillId="5" borderId="46" xfId="3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3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11" fillId="8" borderId="50" xfId="3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7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7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7" applyNumberFormat="1" applyFont="1" applyFill="1" applyBorder="1" applyAlignment="1">
      <alignment horizontal="left" vertical="center"/>
    </xf>
    <xf numFmtId="0" fontId="33" fillId="0" borderId="6" xfId="0" applyNumberFormat="1" applyFont="1" applyFill="1" applyBorder="1"/>
    <xf numFmtId="0" fontId="36" fillId="0" borderId="0" xfId="7" applyNumberFormat="1" applyFont="1" applyFill="1" applyBorder="1" applyAlignment="1">
      <alignment horizontal="left" vertical="center"/>
    </xf>
    <xf numFmtId="0" fontId="37" fillId="0" borderId="0" xfId="7" applyNumberFormat="1" applyFont="1" applyFill="1" applyBorder="1" applyAlignment="1">
      <alignment horizontal="left" vertical="center"/>
    </xf>
    <xf numFmtId="0" fontId="38" fillId="0" borderId="0" xfId="7" applyNumberFormat="1" applyFont="1" applyFill="1" applyBorder="1" applyAlignment="1">
      <alignment horizontal="center"/>
    </xf>
    <xf numFmtId="0" fontId="33" fillId="0" borderId="7" xfId="0" applyNumberFormat="1" applyFont="1" applyFill="1" applyBorder="1"/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6" quotePrefix="1" applyNumberFormat="1" applyFont="1" applyFill="1" applyBorder="1"/>
    <xf numFmtId="0" fontId="39" fillId="0" borderId="0" xfId="6" applyNumberFormat="1" applyFont="1" applyFill="1" applyBorder="1"/>
    <xf numFmtId="14" fontId="39" fillId="0" borderId="0" xfId="6" applyNumberFormat="1" applyFont="1" applyFill="1" applyBorder="1" applyAlignment="1">
      <alignment horizontal="left"/>
    </xf>
    <xf numFmtId="166" fontId="6" fillId="8" borderId="2" xfId="3" applyNumberFormat="1" applyFont="1" applyFill="1" applyBorder="1" applyAlignment="1">
      <alignment horizontal="center" vertical="center" wrapText="1"/>
    </xf>
    <xf numFmtId="0" fontId="6" fillId="8" borderId="2" xfId="3" applyNumberFormat="1" applyFont="1" applyFill="1" applyBorder="1" applyAlignment="1">
      <alignment horizontal="center" vertical="center" wrapText="1"/>
    </xf>
    <xf numFmtId="0" fontId="6" fillId="8" borderId="1" xfId="3" applyNumberFormat="1" applyFont="1" applyFill="1" applyBorder="1" applyAlignment="1">
      <alignment horizontal="center" vertical="center"/>
    </xf>
    <xf numFmtId="0" fontId="6" fillId="8" borderId="0" xfId="3" applyNumberFormat="1" applyFont="1" applyFill="1" applyBorder="1" applyAlignment="1">
      <alignment horizontal="center" vertical="center"/>
    </xf>
    <xf numFmtId="0" fontId="40" fillId="2" borderId="0" xfId="3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/>
    <xf numFmtId="0" fontId="41" fillId="2" borderId="0" xfId="6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6" applyNumberFormat="1" applyFont="1" applyFill="1" applyBorder="1"/>
    <xf numFmtId="166" fontId="39" fillId="2" borderId="0" xfId="6" applyNumberFormat="1" applyFont="1" applyFill="1" applyBorder="1"/>
    <xf numFmtId="166" fontId="39" fillId="2" borderId="0" xfId="6" applyNumberFormat="1" applyFont="1" applyFill="1" applyBorder="1" applyAlignment="1">
      <alignment horizontal="center"/>
    </xf>
    <xf numFmtId="0" fontId="42" fillId="2" borderId="0" xfId="6" applyNumberFormat="1" applyFont="1" applyFill="1" applyBorder="1" applyAlignment="1">
      <alignment vertical="center"/>
    </xf>
    <xf numFmtId="9" fontId="42" fillId="2" borderId="0" xfId="8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3" applyNumberFormat="1" applyFont="1" applyFill="1" applyBorder="1"/>
    <xf numFmtId="0" fontId="41" fillId="0" borderId="0" xfId="3" applyNumberFormat="1" applyFont="1" applyFill="1" applyBorder="1"/>
    <xf numFmtId="0" fontId="11" fillId="8" borderId="26" xfId="3" applyNumberFormat="1" applyFont="1" applyFill="1" applyBorder="1" applyAlignment="1">
      <alignment horizontal="center" vertical="center"/>
    </xf>
    <xf numFmtId="0" fontId="11" fillId="8" borderId="27" xfId="3" applyNumberFormat="1" applyFont="1" applyFill="1" applyBorder="1" applyAlignment="1">
      <alignment horizontal="center" vertical="center" wrapText="1"/>
    </xf>
    <xf numFmtId="0" fontId="41" fillId="0" borderId="15" xfId="3" applyNumberFormat="1" applyFont="1" applyFill="1" applyBorder="1"/>
    <xf numFmtId="0" fontId="41" fillId="0" borderId="39" xfId="3" applyNumberFormat="1" applyFont="1" applyFill="1" applyBorder="1"/>
    <xf numFmtId="0" fontId="41" fillId="0" borderId="20" xfId="3" applyNumberFormat="1" applyFont="1" applyFill="1" applyBorder="1"/>
    <xf numFmtId="0" fontId="41" fillId="0" borderId="29" xfId="3" applyNumberFormat="1" applyFont="1" applyFill="1" applyBorder="1"/>
    <xf numFmtId="2" fontId="10" fillId="8" borderId="2" xfId="3" applyNumberFormat="1" applyFont="1" applyFill="1" applyBorder="1" applyAlignment="1">
      <alignment horizontal="center"/>
    </xf>
    <xf numFmtId="0" fontId="16" fillId="8" borderId="46" xfId="3" applyNumberFormat="1" applyFont="1" applyFill="1" applyBorder="1" applyAlignment="1">
      <alignment horizontal="center" vertical="center" wrapText="1"/>
    </xf>
    <xf numFmtId="0" fontId="16" fillId="8" borderId="43" xfId="3" applyNumberFormat="1" applyFont="1" applyFill="1" applyBorder="1" applyAlignment="1">
      <alignment horizontal="center" vertical="center" wrapText="1"/>
    </xf>
    <xf numFmtId="0" fontId="16" fillId="8" borderId="44" xfId="3" applyNumberFormat="1" applyFont="1" applyFill="1" applyBorder="1" applyAlignment="1">
      <alignment horizontal="center" vertical="center" wrapText="1"/>
    </xf>
    <xf numFmtId="3" fontId="10" fillId="8" borderId="46" xfId="3" applyNumberFormat="1" applyFont="1" applyFill="1" applyBorder="1" applyAlignment="1">
      <alignment horizontal="right" vertical="center"/>
    </xf>
    <xf numFmtId="169" fontId="10" fillId="8" borderId="46" xfId="3" applyNumberFormat="1" applyFont="1" applyFill="1" applyBorder="1" applyAlignment="1">
      <alignment horizontal="right" vertical="center"/>
    </xf>
    <xf numFmtId="166" fontId="10" fillId="8" borderId="46" xfId="3" applyNumberFormat="1" applyFont="1" applyFill="1" applyBorder="1" applyAlignment="1">
      <alignment horizontal="right" vertical="center"/>
    </xf>
    <xf numFmtId="9" fontId="10" fillId="8" borderId="46" xfId="3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3" fontId="9" fillId="0" borderId="16" xfId="4" applyNumberFormat="1" applyFont="1" applyFill="1" applyBorder="1" applyAlignment="1">
      <alignment horizontal="center"/>
    </xf>
    <xf numFmtId="3" fontId="9" fillId="0" borderId="47" xfId="4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0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3" applyNumberFormat="1" applyFont="1" applyFill="1" applyBorder="1"/>
    <xf numFmtId="0" fontId="17" fillId="5" borderId="42" xfId="3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3" applyNumberFormat="1" applyFont="1" applyFill="1" applyBorder="1"/>
    <xf numFmtId="0" fontId="10" fillId="8" borderId="46" xfId="3" applyNumberFormat="1" applyFont="1" applyFill="1" applyBorder="1"/>
    <xf numFmtId="0" fontId="3" fillId="0" borderId="0" xfId="3" applyNumberFormat="1" applyFont="1" applyFill="1" applyBorder="1"/>
    <xf numFmtId="0" fontId="9" fillId="0" borderId="0" xfId="3" applyNumberFormat="1" applyFont="1" applyFill="1" applyBorder="1"/>
    <xf numFmtId="0" fontId="0" fillId="0" borderId="8" xfId="0" applyNumberFormat="1" applyFont="1" applyFill="1" applyBorder="1"/>
    <xf numFmtId="0" fontId="3" fillId="0" borderId="9" xfId="3" applyNumberFormat="1" applyFont="1" applyFill="1" applyBorder="1"/>
    <xf numFmtId="0" fontId="9" fillId="0" borderId="9" xfId="3" applyNumberFormat="1" applyFont="1" applyFill="1" applyBorder="1"/>
    <xf numFmtId="0" fontId="0" fillId="0" borderId="10" xfId="0" applyNumberFormat="1" applyFont="1" applyFill="1" applyBorder="1"/>
    <xf numFmtId="0" fontId="0" fillId="7" borderId="0" xfId="0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center"/>
    </xf>
    <xf numFmtId="0" fontId="16" fillId="8" borderId="45" xfId="3" applyNumberFormat="1" applyFont="1" applyFill="1" applyBorder="1" applyAlignment="1">
      <alignment horizontal="center" vertical="center" wrapText="1"/>
    </xf>
    <xf numFmtId="166" fontId="3" fillId="0" borderId="0" xfId="3" applyNumberFormat="1" applyFont="1" applyFill="1" applyBorder="1"/>
    <xf numFmtId="9" fontId="0" fillId="0" borderId="0" xfId="0" applyNumberFormat="1" applyFont="1" applyFill="1" applyBorder="1"/>
    <xf numFmtId="0" fontId="9" fillId="0" borderId="48" xfId="4" applyNumberFormat="1" applyFont="1" applyFill="1" applyBorder="1"/>
    <xf numFmtId="3" fontId="9" fillId="0" borderId="16" xfId="3" applyNumberFormat="1" applyFont="1" applyFill="1" applyBorder="1" applyAlignment="1">
      <alignment horizontal="center" vertical="center"/>
    </xf>
    <xf numFmtId="2" fontId="9" fillId="0" borderId="17" xfId="3" applyNumberFormat="1" applyFont="1" applyFill="1" applyBorder="1" applyAlignment="1">
      <alignment horizontal="center" vertical="center"/>
    </xf>
    <xf numFmtId="9" fontId="9" fillId="5" borderId="17" xfId="8" applyNumberFormat="1" applyFont="1" applyFill="1" applyBorder="1" applyAlignment="1">
      <alignment horizontal="center"/>
    </xf>
    <xf numFmtId="0" fontId="9" fillId="0" borderId="20" xfId="3" applyNumberFormat="1" applyFont="1" applyFill="1" applyBorder="1" applyAlignment="1">
      <alignment horizontal="center" vertical="center"/>
    </xf>
    <xf numFmtId="3" fontId="9" fillId="0" borderId="22" xfId="3" applyNumberFormat="1" applyFont="1" applyFill="1" applyBorder="1" applyAlignment="1">
      <alignment horizontal="center" vertical="center"/>
    </xf>
    <xf numFmtId="2" fontId="9" fillId="0" borderId="23" xfId="3" applyNumberFormat="1" applyFont="1" applyFill="1" applyBorder="1" applyAlignment="1">
      <alignment horizontal="center" vertical="center"/>
    </xf>
    <xf numFmtId="9" fontId="9" fillId="5" borderId="23" xfId="8" applyNumberFormat="1" applyFont="1" applyFill="1" applyBorder="1" applyAlignment="1">
      <alignment horizontal="center"/>
    </xf>
    <xf numFmtId="0" fontId="9" fillId="0" borderId="0" xfId="3" applyNumberFormat="1" applyFont="1" applyFill="1" applyBorder="1" applyAlignment="1">
      <alignment horizontal="center"/>
    </xf>
    <xf numFmtId="0" fontId="14" fillId="8" borderId="46" xfId="3" applyNumberFormat="1" applyFont="1" applyFill="1" applyBorder="1" applyAlignment="1">
      <alignment horizontal="center" vertical="center" wrapText="1"/>
    </xf>
    <xf numFmtId="0" fontId="14" fillId="8" borderId="43" xfId="3" applyNumberFormat="1" applyFont="1" applyFill="1" applyBorder="1" applyAlignment="1">
      <alignment horizontal="center" vertical="center" wrapText="1"/>
    </xf>
    <xf numFmtId="168" fontId="10" fillId="8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3" applyNumberFormat="1" applyFont="1" applyFill="1" applyBorder="1" applyAlignment="1">
      <alignment horizontal="center"/>
    </xf>
    <xf numFmtId="9" fontId="17" fillId="5" borderId="46" xfId="3" applyNumberFormat="1" applyFont="1" applyFill="1" applyBorder="1" applyAlignment="1">
      <alignment horizontal="center" vertical="center"/>
    </xf>
    <xf numFmtId="9" fontId="10" fillId="8" borderId="46" xfId="3" applyNumberFormat="1" applyFont="1" applyFill="1" applyBorder="1" applyAlignment="1">
      <alignment horizontal="center" vertical="center"/>
    </xf>
    <xf numFmtId="0" fontId="3" fillId="0" borderId="0" xfId="3" applyNumberFormat="1" applyFont="1" applyFill="1" applyBorder="1" applyAlignment="1">
      <alignment horizontal="center"/>
    </xf>
    <xf numFmtId="0" fontId="3" fillId="0" borderId="9" xfId="3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3" fillId="0" borderId="0" xfId="3" applyNumberFormat="1" applyFont="1" applyFill="1" applyBorder="1" applyAlignment="1">
      <alignment horizontal="center"/>
    </xf>
    <xf numFmtId="0" fontId="11" fillId="8" borderId="21" xfId="3" applyNumberFormat="1" applyFont="1" applyFill="1" applyBorder="1" applyAlignment="1">
      <alignment horizontal="center" vertical="center"/>
    </xf>
    <xf numFmtId="3" fontId="11" fillId="8" borderId="21" xfId="3" applyNumberFormat="1" applyFont="1" applyFill="1" applyBorder="1" applyAlignment="1">
      <alignment horizontal="center" vertical="center"/>
    </xf>
    <xf numFmtId="2" fontId="11" fillId="8" borderId="21" xfId="3" applyNumberFormat="1" applyFont="1" applyFill="1" applyBorder="1" applyAlignment="1">
      <alignment horizontal="center" vertical="center"/>
    </xf>
    <xf numFmtId="0" fontId="10" fillId="8" borderId="21" xfId="3" applyNumberFormat="1" applyFont="1" applyFill="1" applyBorder="1" applyAlignment="1">
      <alignment horizontal="center" vertical="center"/>
    </xf>
    <xf numFmtId="0" fontId="11" fillId="8" borderId="2" xfId="4" applyNumberFormat="1" applyFont="1" applyFill="1" applyBorder="1" applyAlignment="1">
      <alignment horizontal="left" vertical="center"/>
    </xf>
    <xf numFmtId="3" fontId="11" fillId="8" borderId="50" xfId="4" applyNumberFormat="1" applyFont="1" applyFill="1" applyBorder="1" applyAlignment="1">
      <alignment horizontal="center"/>
    </xf>
    <xf numFmtId="0" fontId="11" fillId="8" borderId="50" xfId="4" applyNumberFormat="1" applyFont="1" applyFill="1" applyBorder="1" applyAlignment="1">
      <alignment horizontal="center"/>
    </xf>
    <xf numFmtId="9" fontId="11" fillId="8" borderId="19" xfId="4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7" borderId="0" xfId="0" applyNumberFormat="1" applyFont="1" applyFill="1" applyBorder="1"/>
    <xf numFmtId="0" fontId="0" fillId="6" borderId="0" xfId="0" applyNumberFormat="1" applyFont="1" applyFill="1" applyBorder="1"/>
    <xf numFmtId="3" fontId="11" fillId="8" borderId="52" xfId="4" applyNumberFormat="1" applyFont="1" applyFill="1" applyBorder="1" applyAlignment="1">
      <alignment horizontal="center"/>
    </xf>
    <xf numFmtId="0" fontId="11" fillId="8" borderId="53" xfId="4" applyNumberFormat="1" applyFont="1" applyFill="1" applyBorder="1" applyAlignment="1">
      <alignment horizontal="center" vertical="center" wrapText="1"/>
    </xf>
    <xf numFmtId="0" fontId="11" fillId="8" borderId="54" xfId="4" applyNumberFormat="1" applyFont="1" applyFill="1" applyBorder="1" applyAlignment="1">
      <alignment horizontal="center" vertical="center" wrapText="1"/>
    </xf>
    <xf numFmtId="0" fontId="11" fillId="8" borderId="55" xfId="4" applyNumberFormat="1" applyFont="1" applyFill="1" applyBorder="1" applyAlignment="1">
      <alignment horizontal="center" vertical="center" wrapText="1"/>
    </xf>
    <xf numFmtId="0" fontId="11" fillId="8" borderId="56" xfId="4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Border="1"/>
    <xf numFmtId="0" fontId="50" fillId="0" borderId="0" xfId="3" applyNumberFormat="1" applyFont="1" applyFill="1" applyBorder="1"/>
    <xf numFmtId="170" fontId="10" fillId="8" borderId="46" xfId="3" applyNumberFormat="1" applyFont="1" applyFill="1" applyBorder="1" applyAlignment="1">
      <alignment horizontal="center" vertical="center"/>
    </xf>
    <xf numFmtId="0" fontId="51" fillId="0" borderId="0" xfId="4" applyNumberFormat="1" applyFont="1" applyFill="1" applyBorder="1"/>
    <xf numFmtId="0" fontId="2" fillId="0" borderId="0" xfId="0" applyFont="1"/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6" fillId="8" borderId="46" xfId="3" applyFont="1" applyFill="1" applyBorder="1" applyAlignment="1">
      <alignment horizontal="center" vertical="center" wrapText="1"/>
    </xf>
    <xf numFmtId="14" fontId="0" fillId="0" borderId="0" xfId="0" applyNumberFormat="1"/>
    <xf numFmtId="0" fontId="16" fillId="8" borderId="42" xfId="3" applyFont="1" applyFill="1" applyBorder="1" applyAlignment="1">
      <alignment horizontal="center" vertical="center" wrapText="1"/>
    </xf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0" xfId="0" applyBorder="1"/>
    <xf numFmtId="0" fontId="0" fillId="0" borderId="61" xfId="0" applyBorder="1"/>
    <xf numFmtId="171" fontId="0" fillId="0" borderId="0" xfId="10" applyNumberFormat="1" applyFont="1" applyBorder="1"/>
    <xf numFmtId="0" fontId="0" fillId="0" borderId="62" xfId="0" applyBorder="1"/>
    <xf numFmtId="171" fontId="0" fillId="0" borderId="63" xfId="10" applyNumberFormat="1" applyFont="1" applyBorder="1"/>
    <xf numFmtId="171" fontId="0" fillId="0" borderId="61" xfId="10" applyNumberFormat="1" applyFont="1" applyBorder="1"/>
    <xf numFmtId="171" fontId="0" fillId="0" borderId="64" xfId="10" applyNumberFormat="1" applyFont="1" applyBorder="1"/>
    <xf numFmtId="0" fontId="57" fillId="0" borderId="0" xfId="0" applyFont="1" applyBorder="1" applyAlignment="1">
      <alignment horizontal="left"/>
    </xf>
    <xf numFmtId="0" fontId="55" fillId="0" borderId="57" xfId="0" applyFont="1" applyBorder="1"/>
    <xf numFmtId="172" fontId="17" fillId="5" borderId="46" xfId="3" applyNumberFormat="1" applyFont="1" applyFill="1" applyBorder="1" applyAlignment="1">
      <alignment horizontal="right" vertical="center"/>
    </xf>
    <xf numFmtId="173" fontId="10" fillId="8" borderId="46" xfId="3" applyNumberFormat="1" applyFont="1" applyFill="1" applyBorder="1" applyAlignment="1">
      <alignment horizontal="right" vertical="center"/>
    </xf>
    <xf numFmtId="172" fontId="3" fillId="0" borderId="0" xfId="3" applyNumberFormat="1" applyFont="1" applyFill="1" applyBorder="1"/>
    <xf numFmtId="0" fontId="17" fillId="0" borderId="46" xfId="3" applyNumberFormat="1" applyFont="1" applyFill="1" applyBorder="1" applyAlignment="1">
      <alignment horizontal="center"/>
    </xf>
    <xf numFmtId="10" fontId="13" fillId="5" borderId="46" xfId="3" applyNumberFormat="1" applyFont="1" applyFill="1" applyBorder="1" applyAlignment="1">
      <alignment horizontal="right" vertical="center"/>
    </xf>
    <xf numFmtId="0" fontId="14" fillId="8" borderId="44" xfId="3" quotePrefix="1" applyNumberFormat="1" applyFont="1" applyFill="1" applyBorder="1" applyAlignment="1">
      <alignment horizontal="center" vertical="center" wrapText="1"/>
    </xf>
    <xf numFmtId="10" fontId="10" fillId="8" borderId="46" xfId="3" applyNumberFormat="1" applyFont="1" applyFill="1" applyBorder="1" applyAlignment="1">
      <alignment horizontal="right" vertical="center"/>
    </xf>
    <xf numFmtId="0" fontId="48" fillId="0" borderId="0" xfId="0" applyNumberFormat="1" applyFont="1" applyFill="1" applyBorder="1" applyAlignment="1">
      <alignment horizontal="left" vertical="center" wrapText="1"/>
    </xf>
    <xf numFmtId="0" fontId="42" fillId="0" borderId="0" xfId="7" applyNumberFormat="1" applyFont="1" applyFill="1" applyBorder="1" applyAlignment="1">
      <alignment horizontal="left" vertical="center" wrapText="1"/>
    </xf>
    <xf numFmtId="1" fontId="42" fillId="0" borderId="11" xfId="6" applyNumberFormat="1" applyFont="1" applyFill="1" applyBorder="1" applyAlignment="1">
      <alignment horizontal="left" vertical="center" wrapText="1"/>
    </xf>
    <xf numFmtId="1" fontId="42" fillId="0" borderId="12" xfId="6" applyNumberFormat="1" applyFont="1" applyFill="1" applyBorder="1" applyAlignment="1">
      <alignment horizontal="left" vertical="center" wrapText="1"/>
    </xf>
    <xf numFmtId="1" fontId="42" fillId="0" borderId="13" xfId="6" applyNumberFormat="1" applyFont="1" applyFill="1" applyBorder="1" applyAlignment="1">
      <alignment horizontal="left" vertical="center" wrapText="1"/>
    </xf>
    <xf numFmtId="0" fontId="9" fillId="2" borderId="0" xfId="6" applyNumberFormat="1" applyFont="1" applyFill="1" applyBorder="1" applyAlignment="1">
      <alignment horizontal="left" wrapText="1"/>
    </xf>
    <xf numFmtId="0" fontId="41" fillId="2" borderId="0" xfId="6" applyNumberFormat="1" applyFont="1" applyFill="1" applyBorder="1" applyAlignment="1">
      <alignment horizontal="left" wrapText="1"/>
    </xf>
    <xf numFmtId="0" fontId="47" fillId="8" borderId="51" xfId="0" applyNumberFormat="1" applyFont="1" applyFill="1" applyBorder="1" applyAlignment="1">
      <alignment horizontal="center" vertical="center"/>
    </xf>
    <xf numFmtId="0" fontId="47" fillId="8" borderId="52" xfId="0" applyNumberFormat="1" applyFont="1" applyFill="1" applyBorder="1" applyAlignment="1">
      <alignment horizontal="center" vertical="center"/>
    </xf>
    <xf numFmtId="0" fontId="12" fillId="0" borderId="31" xfId="3" applyNumberFormat="1" applyFont="1" applyFill="1" applyBorder="1" applyAlignment="1">
      <alignment horizontal="center" vertical="center"/>
    </xf>
    <xf numFmtId="0" fontId="12" fillId="0" borderId="32" xfId="3" applyNumberFormat="1" applyFont="1" applyFill="1" applyBorder="1" applyAlignment="1">
      <alignment horizontal="center" vertical="center"/>
    </xf>
    <xf numFmtId="0" fontId="12" fillId="0" borderId="33" xfId="3" applyNumberFormat="1" applyFont="1" applyFill="1" applyBorder="1" applyAlignment="1">
      <alignment horizontal="center" vertical="center"/>
    </xf>
    <xf numFmtId="0" fontId="12" fillId="0" borderId="34" xfId="3" applyNumberFormat="1" applyFont="1" applyFill="1" applyBorder="1" applyAlignment="1">
      <alignment horizontal="center" vertical="center"/>
    </xf>
    <xf numFmtId="0" fontId="12" fillId="0" borderId="0" xfId="3" applyNumberFormat="1" applyFont="1" applyFill="1" applyBorder="1" applyAlignment="1">
      <alignment horizontal="center" vertical="center"/>
    </xf>
    <xf numFmtId="0" fontId="12" fillId="0" borderId="35" xfId="3" applyNumberFormat="1" applyFont="1" applyFill="1" applyBorder="1" applyAlignment="1">
      <alignment horizontal="center" vertical="center"/>
    </xf>
    <xf numFmtId="0" fontId="12" fillId="0" borderId="36" xfId="3" applyNumberFormat="1" applyFont="1" applyFill="1" applyBorder="1" applyAlignment="1">
      <alignment horizontal="center" vertical="center"/>
    </xf>
    <xf numFmtId="0" fontId="12" fillId="0" borderId="37" xfId="3" applyNumberFormat="1" applyFont="1" applyFill="1" applyBorder="1" applyAlignment="1">
      <alignment horizontal="center" vertical="center"/>
    </xf>
    <xf numFmtId="0" fontId="12" fillId="0" borderId="38" xfId="3" applyNumberFormat="1" applyFont="1" applyFill="1" applyBorder="1" applyAlignment="1">
      <alignment horizontal="center" vertical="center"/>
    </xf>
    <xf numFmtId="0" fontId="14" fillId="8" borderId="40" xfId="3" applyNumberFormat="1" applyFont="1" applyFill="1" applyBorder="1" applyAlignment="1">
      <alignment horizontal="center"/>
    </xf>
    <xf numFmtId="0" fontId="14" fillId="8" borderId="41" xfId="3" applyNumberFormat="1" applyFont="1" applyFill="1" applyBorder="1" applyAlignment="1">
      <alignment horizontal="center"/>
    </xf>
    <xf numFmtId="0" fontId="14" fillId="8" borderId="42" xfId="3" applyNumberFormat="1" applyFont="1" applyFill="1" applyBorder="1" applyAlignment="1">
      <alignment horizontal="center"/>
    </xf>
    <xf numFmtId="0" fontId="14" fillId="8" borderId="40" xfId="3" applyNumberFormat="1" applyFont="1" applyFill="1" applyBorder="1" applyAlignment="1">
      <alignment horizontal="center" vertical="center" wrapText="1"/>
    </xf>
    <xf numFmtId="0" fontId="14" fillId="8" borderId="41" xfId="3" applyNumberFormat="1" applyFont="1" applyFill="1" applyBorder="1" applyAlignment="1">
      <alignment horizontal="center" vertical="center" wrapText="1"/>
    </xf>
    <xf numFmtId="0" fontId="14" fillId="8" borderId="42" xfId="3" applyNumberFormat="1" applyFont="1" applyFill="1" applyBorder="1" applyAlignment="1">
      <alignment horizontal="center" vertical="center" wrapText="1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1" fontId="56" fillId="0" borderId="11" xfId="6" applyNumberFormat="1" applyFont="1" applyBorder="1" applyAlignment="1">
      <alignment horizontal="left" vertical="center" wrapText="1"/>
    </xf>
    <xf numFmtId="1" fontId="56" fillId="0" borderId="12" xfId="6" applyNumberFormat="1" applyFont="1" applyBorder="1" applyAlignment="1">
      <alignment horizontal="left" vertical="center" wrapText="1"/>
    </xf>
    <xf numFmtId="1" fontId="56" fillId="0" borderId="13" xfId="6" applyNumberFormat="1" applyFont="1" applyBorder="1" applyAlignment="1">
      <alignment horizontal="left" vertical="center" wrapText="1"/>
    </xf>
  </cellXfs>
  <cellStyles count="11">
    <cellStyle name="Comma" xfId="1" builtinId="3"/>
    <cellStyle name="Monétaire 2" xfId="2"/>
    <cellStyle name="Monétaire 3" xfId="10"/>
    <cellStyle name="Normal" xfId="0" builtinId="0"/>
    <cellStyle name="Normal 2" xfId="3"/>
    <cellStyle name="Normal 2 2" xfId="4"/>
    <cellStyle name="Normal 3" xfId="5"/>
    <cellStyle name="Normal 4" xfId="6"/>
    <cellStyle name="Normal_Book 2004 feuille sommaire 2" xfId="7"/>
    <cellStyle name="Percent" xfId="8" builtinId="5"/>
    <cellStyle name="Pourcentage 2" xfId="9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effectifs'!$AA$15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effectifs'!$AB$14:$AC$14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effectifs'!$AB$15:$AC$15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33-4F35-81BF-F9DEAEA7DF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 xmlns:c16r2="http://schemas.microsoft.com/office/drawing/2015/06/chart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20CB-48EC-A596-19BBE713ABD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20CB-48EC-A596-19BBE713ABDB}"/>
                </c:ex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5B9B-4785-94E6-4D17AC42C048}"/>
                </c:ex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Graph'!$F$67:$F$76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Graph'!$I$67:$I$76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Graph'!$J$67:$J$76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Graph'!$K$67:$K$76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Graph'!$L$67:$L$76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Graph'!$M$67:$M$76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Graph'!$N$67:$N$76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70AF-473A-B5F0-26F85E81E3EE}"/>
                </c:ex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Graph'!$G$67:$G$76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849-46B3-A6B0-C548C6FD82AF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5849-46B3-A6B0-C548C6FD82AF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5849-46B3-A6B0-C548C6FD82AF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5849-46B3-A6B0-C548C6FD82AF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5849-46B3-A6B0-C548C6FD82A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5849-46B3-A6B0-C548C6FD82AF}"/>
                </c:ex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1750-4142-B500-1430FD3099EC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1750-4142-B500-1430FD3099EC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1750-4142-B500-1430FD3099EC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1750-4142-B500-1430FD3099EC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1750-4142-B500-1430FD3099EC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1750-4142-B500-1430FD3099EC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1750-4142-B500-1430FD3099EC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1750-4142-B500-1430FD3099EC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1750-4142-B500-1430FD3099EC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1750-4142-B500-1430FD3099EC}"/>
                </c:ex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15F-4D26-A046-BEE042AF46ED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15F-4D26-A046-BEE042AF46ED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B15F-4D26-A046-BEE042AF46ED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B15F-4D26-A046-BEE042AF46ED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B15F-4D26-A046-BEE042AF4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B15F-4D26-A046-BEE042AF46ED}"/>
                </c:ex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134471</xdr:colOff>
      <xdr:row>25</xdr:row>
      <xdr:rowOff>123264</xdr:rowOff>
    </xdr:from>
    <xdr:to>
      <xdr:col>5</xdr:col>
      <xdr:colOff>638735</xdr:colOff>
      <xdr:row>37</xdr:row>
      <xdr:rowOff>134470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xmlns="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41"/>
  <sheetViews>
    <sheetView showGridLines="0" zoomScale="70" zoomScaleNormal="70" workbookViewId="0">
      <selection activeCell="X6" sqref="X6"/>
    </sheetView>
  </sheetViews>
  <sheetFormatPr defaultColWidth="11.42578125" defaultRowHeight="15"/>
  <cols>
    <col min="1" max="1" width="2.85546875" style="117" customWidth="1"/>
    <col min="2" max="2" width="4.28515625" style="117" customWidth="1"/>
    <col min="3" max="3" width="11.42578125" style="117" customWidth="1"/>
    <col min="4" max="4" width="13.7109375" style="117" customWidth="1"/>
    <col min="5" max="9" width="11.42578125" style="117" customWidth="1"/>
    <col min="10" max="11" width="22.85546875" style="117" customWidth="1"/>
    <col min="12" max="18" width="11.42578125" style="117" customWidth="1"/>
    <col min="19" max="19" width="4.28515625" style="117" customWidth="1"/>
    <col min="20" max="20" width="2.85546875" style="117" customWidth="1"/>
    <col min="21" max="27" width="11.42578125" style="117" customWidth="1"/>
    <col min="28" max="16384" width="11.42578125" style="117"/>
  </cols>
  <sheetData>
    <row r="1" spans="2:31">
      <c r="AD1" s="117" t="s">
        <v>0</v>
      </c>
      <c r="AE1" s="117" t="s">
        <v>1</v>
      </c>
    </row>
    <row r="2" spans="2:31">
      <c r="B2" s="118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20"/>
      <c r="AD2" s="117" t="s">
        <v>2</v>
      </c>
      <c r="AE2" s="117" t="s">
        <v>2</v>
      </c>
    </row>
    <row r="3" spans="2:31">
      <c r="B3" s="121"/>
      <c r="S3" s="122"/>
    </row>
    <row r="4" spans="2:31">
      <c r="B4" s="121"/>
      <c r="S4" s="122"/>
    </row>
    <row r="5" spans="2:31">
      <c r="B5" s="121"/>
      <c r="S5" s="122"/>
    </row>
    <row r="6" spans="2:31">
      <c r="B6" s="121"/>
      <c r="S6" s="122"/>
    </row>
    <row r="7" spans="2:31">
      <c r="B7" s="121"/>
      <c r="S7" s="122"/>
    </row>
    <row r="8" spans="2:31">
      <c r="B8" s="121"/>
      <c r="S8" s="122"/>
    </row>
    <row r="9" spans="2:31" ht="45">
      <c r="B9" s="121"/>
      <c r="C9" s="123" t="s">
        <v>3</v>
      </c>
      <c r="D9" s="124"/>
      <c r="E9" s="124"/>
      <c r="F9" s="124"/>
      <c r="G9" s="124"/>
      <c r="H9" s="124"/>
      <c r="I9" s="124"/>
      <c r="S9" s="122"/>
    </row>
    <row r="10" spans="2:31" ht="45">
      <c r="B10" s="121"/>
      <c r="C10" s="123" t="s">
        <v>4</v>
      </c>
      <c r="D10" s="124"/>
      <c r="E10" s="124"/>
      <c r="F10" s="124"/>
      <c r="G10" s="124"/>
      <c r="H10" s="124"/>
      <c r="I10" s="124"/>
      <c r="S10" s="122"/>
    </row>
    <row r="11" spans="2:31">
      <c r="B11" s="121"/>
      <c r="C11" s="124"/>
      <c r="D11" s="124"/>
      <c r="E11" s="124"/>
      <c r="F11" s="124"/>
      <c r="G11" s="124"/>
      <c r="H11" s="124"/>
      <c r="I11" s="124"/>
      <c r="S11" s="122"/>
    </row>
    <row r="12" spans="2:31" ht="15" customHeight="1">
      <c r="B12" s="121"/>
      <c r="C12" s="124"/>
      <c r="D12" s="124"/>
      <c r="E12" s="124"/>
      <c r="F12" s="124"/>
      <c r="G12" s="124"/>
      <c r="H12" s="124"/>
      <c r="I12" s="124"/>
      <c r="J12" s="125"/>
      <c r="S12" s="122"/>
    </row>
    <row r="13" spans="2:31" ht="90" customHeight="1">
      <c r="B13" s="126"/>
      <c r="C13" s="281"/>
      <c r="D13" s="281"/>
      <c r="E13" s="281"/>
      <c r="F13" s="281"/>
      <c r="G13" s="281"/>
      <c r="H13" s="281"/>
      <c r="I13" s="281"/>
      <c r="J13" s="281"/>
      <c r="K13" s="281"/>
      <c r="L13" s="281"/>
      <c r="M13" s="281"/>
      <c r="N13" s="281"/>
      <c r="O13" s="281"/>
      <c r="P13" s="281"/>
      <c r="Q13" s="281"/>
      <c r="R13" s="281"/>
      <c r="S13" s="127"/>
      <c r="W13" s="128"/>
      <c r="X13" s="128"/>
    </row>
    <row r="14" spans="2:31">
      <c r="B14" s="121"/>
      <c r="C14" s="124"/>
      <c r="D14" s="124"/>
      <c r="E14" s="124"/>
      <c r="F14" s="124"/>
      <c r="G14" s="124"/>
      <c r="H14" s="124"/>
      <c r="I14" s="124"/>
      <c r="S14" s="122"/>
      <c r="W14" s="128"/>
      <c r="X14" s="128"/>
    </row>
    <row r="15" spans="2:31">
      <c r="B15" s="121"/>
      <c r="C15" s="124"/>
      <c r="D15" s="124"/>
      <c r="E15" s="124"/>
      <c r="F15" s="124"/>
      <c r="G15" s="124"/>
      <c r="H15" s="124"/>
      <c r="I15" s="124"/>
      <c r="S15" s="122"/>
      <c r="W15" s="128"/>
    </row>
    <row r="16" spans="2:31">
      <c r="B16" s="121"/>
      <c r="S16" s="122"/>
      <c r="W16" s="128"/>
      <c r="X16" s="128"/>
    </row>
    <row r="17" spans="1:24">
      <c r="B17" s="121"/>
      <c r="S17" s="122"/>
      <c r="W17" s="128"/>
      <c r="X17" s="128"/>
    </row>
    <row r="18" spans="1:24">
      <c r="B18" s="121"/>
      <c r="S18" s="122"/>
      <c r="W18" s="128"/>
      <c r="X18" s="128"/>
    </row>
    <row r="19" spans="1:24" s="132" customFormat="1" ht="67.5" customHeight="1">
      <c r="A19" s="128"/>
      <c r="B19" s="129"/>
      <c r="C19" s="130"/>
      <c r="D19" s="131" t="s">
        <v>5</v>
      </c>
      <c r="F19" s="130" t="s">
        <v>6</v>
      </c>
      <c r="G19" s="282"/>
      <c r="H19" s="282"/>
      <c r="I19" s="282"/>
      <c r="J19" s="282"/>
      <c r="K19" s="282"/>
      <c r="L19" s="282"/>
      <c r="M19" s="282"/>
      <c r="N19" s="282"/>
      <c r="O19" s="282"/>
      <c r="P19" s="282"/>
      <c r="Q19" s="282"/>
      <c r="R19" s="282"/>
      <c r="S19" s="133"/>
    </row>
    <row r="20" spans="1:24" s="132" customFormat="1" ht="67.5" customHeight="1">
      <c r="A20" s="128"/>
      <c r="B20" s="129"/>
      <c r="C20" s="130"/>
      <c r="D20" s="131" t="s">
        <v>7</v>
      </c>
      <c r="F20" s="134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3"/>
    </row>
    <row r="21" spans="1:24">
      <c r="B21" s="121"/>
      <c r="C21" s="124"/>
      <c r="D21" s="135"/>
      <c r="E21" s="124"/>
      <c r="F21" s="124"/>
      <c r="G21" s="124"/>
      <c r="H21" s="124"/>
      <c r="I21" s="124"/>
      <c r="S21" s="122"/>
    </row>
    <row r="22" spans="1:24" s="125" customFormat="1" ht="33.75">
      <c r="A22" s="117"/>
      <c r="B22" s="136"/>
      <c r="C22" s="130"/>
      <c r="D22" s="137" t="s">
        <v>9</v>
      </c>
      <c r="E22" s="130"/>
      <c r="G22" s="130"/>
      <c r="H22" s="138" t="s">
        <v>216</v>
      </c>
      <c r="I22" s="139"/>
      <c r="S22" s="140"/>
    </row>
    <row r="23" spans="1:24" s="125" customFormat="1" ht="33.75">
      <c r="A23" s="117"/>
      <c r="B23" s="136"/>
      <c r="C23" s="130"/>
      <c r="D23" s="137" t="s">
        <v>10</v>
      </c>
      <c r="E23" s="130"/>
      <c r="F23" s="130"/>
      <c r="H23" s="130"/>
      <c r="J23" s="138" t="s">
        <v>11</v>
      </c>
      <c r="S23" s="140"/>
    </row>
    <row r="24" spans="1:24">
      <c r="B24" s="121"/>
      <c r="S24" s="122"/>
    </row>
    <row r="25" spans="1:24">
      <c r="B25" s="121"/>
      <c r="S25" s="122"/>
    </row>
    <row r="26" spans="1:24" ht="15" hidden="1" customHeight="1">
      <c r="B26" s="121"/>
      <c r="S26" s="122"/>
    </row>
    <row r="27" spans="1:24" ht="15" hidden="1" customHeight="1">
      <c r="B27" s="121"/>
      <c r="S27" s="122"/>
    </row>
    <row r="28" spans="1:24">
      <c r="B28" s="121"/>
      <c r="S28" s="122"/>
    </row>
    <row r="29" spans="1:24">
      <c r="B29" s="121"/>
      <c r="S29" s="122"/>
    </row>
    <row r="30" spans="1:24" hidden="1">
      <c r="B30" s="121"/>
      <c r="S30" s="122"/>
    </row>
    <row r="31" spans="1:24" hidden="1">
      <c r="B31" s="121"/>
      <c r="S31" s="122"/>
    </row>
    <row r="32" spans="1:24" hidden="1">
      <c r="B32" s="121"/>
      <c r="S32" s="122"/>
    </row>
    <row r="33" spans="2:19">
      <c r="B33" s="121"/>
      <c r="S33" s="122"/>
    </row>
    <row r="34" spans="2:19" hidden="1">
      <c r="B34" s="121"/>
      <c r="S34" s="122"/>
    </row>
    <row r="35" spans="2:19" hidden="1">
      <c r="B35" s="121"/>
      <c r="S35" s="122"/>
    </row>
    <row r="36" spans="2:19" hidden="1">
      <c r="B36" s="121"/>
      <c r="S36" s="122"/>
    </row>
    <row r="37" spans="2:19" hidden="1">
      <c r="B37" s="121"/>
      <c r="S37" s="122"/>
    </row>
    <row r="38" spans="2:19">
      <c r="B38" s="121"/>
      <c r="S38" s="122"/>
    </row>
    <row r="39" spans="2:19">
      <c r="B39" s="121"/>
      <c r="S39" s="122"/>
    </row>
    <row r="40" spans="2:19" ht="7.5" customHeight="1">
      <c r="B40" s="121"/>
      <c r="S40" s="122"/>
    </row>
    <row r="41" spans="2:19">
      <c r="B41" s="141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3"/>
    </row>
  </sheetData>
  <mergeCells count="2">
    <mergeCell ref="C13:R13"/>
    <mergeCell ref="G19:R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  <pageSetUpPr fitToPage="1"/>
  </sheetPr>
  <dimension ref="A1:T39"/>
  <sheetViews>
    <sheetView showGridLines="0" zoomScale="70" zoomScaleNormal="70" workbookViewId="0">
      <selection activeCell="C25" sqref="C25"/>
    </sheetView>
  </sheetViews>
  <sheetFormatPr defaultColWidth="11.42578125" defaultRowHeight="15"/>
  <cols>
    <col min="1" max="1" width="2.85546875" style="9" customWidth="1"/>
    <col min="2" max="2" width="4.28515625" style="3" customWidth="1"/>
    <col min="3" max="3" width="22.85546875" style="3" customWidth="1"/>
    <col min="4" max="4" width="2.85546875" style="3" customWidth="1"/>
    <col min="5" max="5" width="22.85546875" style="3" customWidth="1"/>
    <col min="6" max="6" width="2.85546875" style="3" customWidth="1"/>
    <col min="7" max="7" width="22.85546875" style="52" customWidth="1"/>
    <col min="8" max="8" width="2.85546875" style="52" customWidth="1"/>
    <col min="9" max="9" width="22.85546875" style="52" customWidth="1"/>
    <col min="10" max="10" width="2.85546875" style="52" customWidth="1"/>
    <col min="11" max="11" width="22.85546875" style="52" customWidth="1"/>
    <col min="12" max="12" width="2.85546875" style="52" customWidth="1"/>
    <col min="13" max="13" width="22.85546875" style="52" customWidth="1"/>
    <col min="14" max="14" width="2.85546875" style="52" customWidth="1"/>
    <col min="15" max="15" width="22.85546875" style="52" customWidth="1"/>
    <col min="16" max="16" width="2.85546875" style="3" customWidth="1"/>
    <col min="17" max="17" width="22.85546875" style="3" customWidth="1"/>
    <col min="18" max="18" width="2.85546875" style="3" customWidth="1"/>
    <col min="19" max="19" width="4.28515625" style="3" customWidth="1"/>
    <col min="20" max="20" width="2.85546875" style="3" customWidth="1"/>
    <col min="21" max="25" width="11.42578125" style="3" customWidth="1"/>
    <col min="26" max="16384" width="11.42578125" style="3"/>
  </cols>
  <sheetData>
    <row r="1" spans="1:20" ht="15" customHeight="1">
      <c r="A1" s="8"/>
      <c r="B1" s="8"/>
      <c r="C1" s="8"/>
      <c r="D1" s="8"/>
      <c r="E1" s="8"/>
      <c r="F1" s="8"/>
      <c r="G1" s="42"/>
      <c r="H1" s="42"/>
      <c r="I1" s="42"/>
      <c r="J1" s="42"/>
      <c r="K1" s="42"/>
      <c r="L1" s="42"/>
      <c r="M1" s="42"/>
      <c r="N1" s="42"/>
      <c r="O1" s="42"/>
      <c r="P1" s="8"/>
      <c r="Q1" s="8"/>
      <c r="R1" s="8"/>
      <c r="S1" s="9"/>
      <c r="T1" s="8"/>
    </row>
    <row r="2" spans="1:20" ht="15" customHeight="1">
      <c r="B2" s="59"/>
      <c r="C2" s="60"/>
      <c r="D2" s="60"/>
      <c r="E2" s="60"/>
      <c r="F2" s="60"/>
      <c r="G2" s="64"/>
      <c r="H2" s="64"/>
      <c r="I2" s="64"/>
      <c r="J2" s="64"/>
      <c r="K2" s="64"/>
      <c r="L2" s="64"/>
      <c r="M2" s="64"/>
      <c r="N2" s="64"/>
      <c r="O2" s="64"/>
      <c r="P2" s="60"/>
      <c r="Q2" s="60"/>
      <c r="R2" s="60"/>
      <c r="S2" s="61"/>
    </row>
    <row r="3" spans="1:20" ht="15" customHeight="1">
      <c r="A3" s="8"/>
      <c r="B3" s="4"/>
      <c r="C3" s="5"/>
      <c r="D3" s="5"/>
      <c r="E3" s="5"/>
      <c r="F3" s="5"/>
      <c r="G3" s="43"/>
      <c r="H3" s="43"/>
      <c r="I3" s="43"/>
      <c r="J3" s="43"/>
      <c r="K3" s="43"/>
      <c r="L3" s="43"/>
      <c r="M3" s="43"/>
      <c r="N3" s="43"/>
      <c r="O3" s="43"/>
      <c r="P3" s="5"/>
      <c r="Q3" s="5"/>
      <c r="R3" s="5"/>
      <c r="S3" s="62"/>
    </row>
    <row r="4" spans="1:20" ht="15" customHeight="1">
      <c r="A4" s="8"/>
      <c r="B4" s="4"/>
      <c r="C4" s="5"/>
      <c r="D4" s="5"/>
      <c r="E4" s="5"/>
      <c r="F4" s="5"/>
      <c r="G4" s="43"/>
      <c r="H4" s="43"/>
      <c r="I4" s="43"/>
      <c r="J4" s="43"/>
      <c r="K4" s="43"/>
      <c r="L4" s="43"/>
      <c r="M4" s="43"/>
      <c r="N4" s="43"/>
      <c r="O4" s="43"/>
      <c r="P4" s="5"/>
      <c r="Q4" s="5"/>
      <c r="R4" s="5"/>
      <c r="S4" s="62"/>
    </row>
    <row r="5" spans="1:20" ht="15" customHeight="1">
      <c r="A5" s="8"/>
      <c r="B5" s="4"/>
      <c r="C5" s="5"/>
      <c r="D5" s="5"/>
      <c r="E5" s="5"/>
      <c r="F5" s="5"/>
      <c r="G5" s="43"/>
      <c r="H5" s="43"/>
      <c r="I5" s="43"/>
      <c r="J5" s="43"/>
      <c r="K5" s="43"/>
      <c r="L5" s="43"/>
      <c r="M5" s="43"/>
      <c r="N5" s="43"/>
      <c r="O5" s="43"/>
      <c r="P5" s="5"/>
      <c r="Q5" s="5"/>
      <c r="R5" s="5"/>
      <c r="S5" s="62"/>
    </row>
    <row r="6" spans="1:20" ht="15" hidden="1" customHeight="1">
      <c r="A6" s="8"/>
      <c r="B6" s="4"/>
      <c r="C6" s="5"/>
      <c r="D6" s="5"/>
      <c r="E6" s="5"/>
      <c r="F6" s="5"/>
      <c r="G6" s="43"/>
      <c r="H6" s="43"/>
      <c r="I6" s="43"/>
      <c r="J6" s="43"/>
      <c r="K6" s="43"/>
      <c r="L6" s="43"/>
      <c r="M6" s="43"/>
      <c r="N6" s="43"/>
      <c r="O6" s="43"/>
      <c r="P6" s="5"/>
      <c r="Q6" s="5"/>
      <c r="R6" s="5"/>
      <c r="S6" s="62"/>
    </row>
    <row r="7" spans="1:20" ht="15" hidden="1" customHeight="1">
      <c r="A7" s="8"/>
      <c r="B7" s="4"/>
      <c r="C7" s="5"/>
      <c r="D7" s="5"/>
      <c r="E7" s="5"/>
      <c r="F7" s="5"/>
      <c r="G7" s="43"/>
      <c r="H7" s="43"/>
      <c r="I7" s="43"/>
      <c r="J7" s="43"/>
      <c r="K7" s="43"/>
      <c r="L7" s="43"/>
      <c r="M7" s="43"/>
      <c r="N7" s="43"/>
      <c r="O7" s="43"/>
      <c r="P7" s="5"/>
      <c r="Q7" s="5"/>
      <c r="R7" s="5"/>
      <c r="S7" s="62"/>
    </row>
    <row r="8" spans="1:20" ht="60" customHeight="1">
      <c r="A8" s="8"/>
      <c r="B8" s="4"/>
      <c r="C8" s="283" t="str">
        <f>'Page de garde'!C13&amp;" : Résultats"</f>
        <v xml:space="preserve"> : Résultats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5"/>
      <c r="S8" s="62"/>
    </row>
    <row r="9" spans="1:20" ht="15" customHeight="1">
      <c r="A9" s="8"/>
      <c r="B9" s="4"/>
      <c r="C9" s="5"/>
      <c r="D9" s="5"/>
      <c r="E9" s="5"/>
      <c r="F9" s="5"/>
      <c r="G9" s="43"/>
      <c r="H9" s="43"/>
      <c r="I9" s="43"/>
      <c r="J9" s="43"/>
      <c r="K9" s="43"/>
      <c r="L9" s="43"/>
      <c r="M9" s="43"/>
      <c r="N9" s="43"/>
      <c r="O9" s="43"/>
      <c r="P9" s="5"/>
      <c r="Q9" s="5"/>
      <c r="R9" s="5"/>
      <c r="S9" s="62"/>
    </row>
    <row r="10" spans="1:20" ht="15" customHeight="1">
      <c r="A10" s="8"/>
      <c r="B10" s="4"/>
      <c r="C10" s="5"/>
      <c r="D10" s="5"/>
      <c r="E10" s="5"/>
      <c r="F10" s="5"/>
      <c r="G10" s="43"/>
      <c r="H10" s="43"/>
      <c r="I10" s="43"/>
      <c r="J10" s="43"/>
      <c r="K10" s="43"/>
      <c r="L10" s="43"/>
      <c r="M10" s="43"/>
      <c r="N10" s="43"/>
      <c r="O10" s="43"/>
      <c r="P10" s="5"/>
      <c r="Q10" s="5"/>
      <c r="R10" s="5"/>
      <c r="S10" s="62"/>
    </row>
    <row r="11" spans="1:20" ht="15" customHeight="1">
      <c r="A11" s="8"/>
      <c r="B11" s="4"/>
      <c r="C11" s="5"/>
      <c r="D11" s="5"/>
      <c r="E11" s="5"/>
      <c r="F11" s="5"/>
      <c r="G11" s="43"/>
      <c r="H11" s="43"/>
      <c r="I11" s="43"/>
      <c r="J11" s="43"/>
      <c r="K11" s="43"/>
      <c r="L11" s="43"/>
      <c r="M11" s="43"/>
      <c r="N11" s="43"/>
      <c r="O11" s="43"/>
      <c r="P11" s="5"/>
      <c r="Q11" s="5"/>
      <c r="R11" s="5"/>
      <c r="S11" s="62"/>
    </row>
    <row r="12" spans="1:20" ht="15" customHeight="1">
      <c r="A12" s="8"/>
      <c r="B12" s="4"/>
      <c r="C12" s="5"/>
      <c r="D12" s="5"/>
      <c r="E12" s="5"/>
      <c r="F12" s="5"/>
      <c r="G12" s="43"/>
      <c r="H12" s="43"/>
      <c r="I12" s="43"/>
      <c r="J12" s="43"/>
      <c r="K12" s="43"/>
      <c r="L12" s="43"/>
      <c r="M12" s="43"/>
      <c r="N12" s="43"/>
      <c r="O12" s="43"/>
      <c r="P12" s="5"/>
      <c r="Q12" s="5"/>
      <c r="R12" s="5"/>
      <c r="S12" s="62"/>
    </row>
    <row r="13" spans="1:20" s="114" customFormat="1" ht="15" customHeight="1">
      <c r="A13" s="65"/>
      <c r="B13" s="70"/>
      <c r="C13" s="144" t="s">
        <v>12</v>
      </c>
      <c r="D13" s="145"/>
      <c r="E13" s="146" t="str">
        <f>'Page de garde'!J23</f>
        <v>31 décembre 2020</v>
      </c>
      <c r="F13" s="11"/>
      <c r="G13" s="44"/>
      <c r="H13" s="44"/>
      <c r="I13" s="45"/>
      <c r="J13" s="45"/>
      <c r="K13" s="45"/>
      <c r="L13" s="45"/>
      <c r="M13" s="45"/>
      <c r="N13" s="45"/>
      <c r="O13" s="45"/>
      <c r="P13" s="11"/>
      <c r="Q13" s="11"/>
      <c r="R13" s="16"/>
      <c r="S13" s="71"/>
    </row>
    <row r="14" spans="1:20" s="114" customFormat="1" ht="15" customHeight="1">
      <c r="A14" s="65"/>
      <c r="B14" s="70"/>
      <c r="C14" s="11"/>
      <c r="D14" s="11"/>
      <c r="E14" s="11"/>
      <c r="F14" s="11"/>
      <c r="G14" s="45"/>
      <c r="H14" s="45"/>
      <c r="I14" s="45"/>
      <c r="J14" s="45"/>
      <c r="K14" s="45"/>
      <c r="L14" s="45"/>
      <c r="M14" s="45"/>
      <c r="N14" s="45"/>
      <c r="O14" s="45"/>
      <c r="P14" s="11"/>
      <c r="Q14" s="11"/>
      <c r="R14" s="16"/>
      <c r="S14" s="71"/>
    </row>
    <row r="15" spans="1:20" s="114" customFormat="1" ht="54.75" customHeight="1">
      <c r="A15" s="65"/>
      <c r="B15" s="70"/>
      <c r="C15" s="11"/>
      <c r="D15" s="11"/>
      <c r="E15" s="11"/>
      <c r="F15" s="12"/>
      <c r="G15" s="147" t="s">
        <v>13</v>
      </c>
      <c r="H15" s="46"/>
      <c r="I15" s="147" t="s">
        <v>14</v>
      </c>
      <c r="J15" s="46"/>
      <c r="K15" s="147" t="s">
        <v>15</v>
      </c>
      <c r="L15" s="46"/>
      <c r="M15" s="147" t="s">
        <v>16</v>
      </c>
      <c r="N15" s="46"/>
      <c r="O15" s="147" t="s">
        <v>17</v>
      </c>
      <c r="P15" s="12"/>
      <c r="Q15" s="148" t="s">
        <v>18</v>
      </c>
      <c r="R15" s="16"/>
      <c r="S15" s="71"/>
    </row>
    <row r="16" spans="1:20" s="114" customFormat="1" ht="22.5" customHeight="1">
      <c r="A16" s="65"/>
      <c r="B16" s="7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6"/>
      <c r="S16" s="71"/>
    </row>
    <row r="17" spans="1:19" s="114" customFormat="1" ht="22.5" customHeight="1">
      <c r="A17" s="65"/>
      <c r="B17" s="7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6"/>
      <c r="S17" s="71"/>
    </row>
    <row r="18" spans="1:19" s="114" customFormat="1" ht="22.5" customHeight="1">
      <c r="A18" s="65"/>
      <c r="B18" s="7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6"/>
      <c r="S18" s="71"/>
    </row>
    <row r="19" spans="1:19" s="114" customFormat="1" ht="22.5" customHeight="1">
      <c r="A19" s="105"/>
      <c r="B19" s="7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6"/>
      <c r="S19" s="71"/>
    </row>
    <row r="20" spans="1:19" s="114" customFormat="1" ht="22.5" customHeight="1">
      <c r="A20" s="105"/>
      <c r="B20" s="70"/>
      <c r="C20" s="149"/>
      <c r="D20" s="11"/>
      <c r="E20" s="150" t="s">
        <v>19</v>
      </c>
      <c r="F20" s="11"/>
      <c r="G20" s="47"/>
      <c r="H20" s="46"/>
      <c r="I20" s="47"/>
      <c r="J20" s="46"/>
      <c r="K20" s="47"/>
      <c r="L20" s="46"/>
      <c r="M20" s="13"/>
      <c r="N20" s="46"/>
      <c r="O20" s="47"/>
      <c r="P20" s="12"/>
      <c r="Q20" s="13"/>
      <c r="R20" s="16"/>
      <c r="S20" s="71"/>
    </row>
    <row r="21" spans="1:19" s="114" customFormat="1" ht="22.5" customHeight="1">
      <c r="A21" s="65"/>
      <c r="B21" s="70"/>
      <c r="C21" s="10"/>
      <c r="D21" s="11"/>
      <c r="E21" s="151"/>
      <c r="F21" s="11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6"/>
      <c r="S21" s="71"/>
    </row>
    <row r="22" spans="1:19" ht="22.5" customHeight="1">
      <c r="A22" s="8"/>
      <c r="B22" s="4"/>
      <c r="C22" s="10"/>
      <c r="D22" s="11"/>
      <c r="E22" s="54"/>
      <c r="F22" s="11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6"/>
      <c r="S22" s="62"/>
    </row>
    <row r="23" spans="1:19" ht="22.5" customHeight="1">
      <c r="A23" s="8"/>
      <c r="B23" s="4"/>
      <c r="C23" s="10"/>
      <c r="D23" s="11"/>
      <c r="E23" s="10"/>
      <c r="F23" s="11"/>
      <c r="G23" s="48"/>
      <c r="H23" s="48"/>
      <c r="I23" s="48"/>
      <c r="J23" s="48"/>
      <c r="K23" s="49"/>
      <c r="L23" s="48"/>
      <c r="M23" s="49"/>
      <c r="N23" s="48"/>
      <c r="O23" s="49"/>
      <c r="P23" s="14"/>
      <c r="Q23" s="15"/>
      <c r="R23" s="16"/>
      <c r="S23" s="62"/>
    </row>
    <row r="24" spans="1:19" s="114" customFormat="1" ht="22.5" customHeight="1">
      <c r="A24" s="105"/>
      <c r="B24" s="70"/>
      <c r="C24" s="10"/>
      <c r="D24" s="11"/>
      <c r="E24" s="10"/>
      <c r="F24" s="11"/>
      <c r="G24" s="48"/>
      <c r="H24" s="48"/>
      <c r="I24" s="48"/>
      <c r="J24" s="48"/>
      <c r="K24" s="49"/>
      <c r="L24" s="48"/>
      <c r="M24" s="49"/>
      <c r="N24" s="48"/>
      <c r="O24" s="49"/>
      <c r="P24" s="14"/>
      <c r="Q24" s="15"/>
      <c r="R24" s="16"/>
      <c r="S24" s="71"/>
    </row>
    <row r="25" spans="1:19" s="114" customFormat="1" ht="22.5" customHeight="1">
      <c r="A25" s="105"/>
      <c r="B25" s="70"/>
      <c r="C25" s="149"/>
      <c r="D25" s="11"/>
      <c r="E25" s="150" t="s">
        <v>19</v>
      </c>
      <c r="F25" s="11"/>
      <c r="G25" s="47"/>
      <c r="H25" s="46"/>
      <c r="I25" s="47"/>
      <c r="J25" s="46"/>
      <c r="K25" s="47"/>
      <c r="L25" s="46"/>
      <c r="M25" s="13"/>
      <c r="N25" s="46"/>
      <c r="O25" s="47"/>
      <c r="P25" s="12"/>
      <c r="Q25" s="13"/>
      <c r="R25" s="16"/>
      <c r="S25" s="71"/>
    </row>
    <row r="26" spans="1:19" s="114" customFormat="1" ht="22.5" customHeight="1">
      <c r="A26" s="65"/>
      <c r="B26" s="70"/>
      <c r="C26" s="10"/>
      <c r="D26" s="11"/>
      <c r="E26" s="15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6"/>
      <c r="S26" s="71"/>
    </row>
    <row r="27" spans="1:19" s="114" customFormat="1" ht="22.5" customHeight="1">
      <c r="A27" s="65"/>
      <c r="B27" s="70"/>
      <c r="C27" s="10"/>
      <c r="D27" s="11"/>
      <c r="E27" s="152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6"/>
      <c r="S27" s="71"/>
    </row>
    <row r="28" spans="1:19" s="114" customFormat="1" ht="22.5" customHeight="1">
      <c r="A28" s="65"/>
      <c r="B28" s="70"/>
      <c r="C28" s="10"/>
      <c r="D28" s="11"/>
      <c r="E28" s="15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6"/>
      <c r="S28" s="71"/>
    </row>
    <row r="29" spans="1:19" ht="12.6" customHeight="1">
      <c r="A29" s="8"/>
      <c r="B29" s="4"/>
      <c r="C29" s="10"/>
      <c r="D29" s="11"/>
      <c r="E29" s="54"/>
      <c r="F29" s="11"/>
      <c r="G29" s="46"/>
      <c r="H29" s="46"/>
      <c r="I29" s="56"/>
      <c r="J29" s="46"/>
      <c r="K29" s="46"/>
      <c r="L29" s="46"/>
      <c r="M29" s="46"/>
      <c r="N29" s="46"/>
      <c r="O29" s="46"/>
      <c r="P29" s="12"/>
      <c r="Q29" s="56"/>
      <c r="R29" s="16"/>
      <c r="S29" s="62"/>
    </row>
    <row r="30" spans="1:19" ht="8.85" customHeight="1">
      <c r="A30" s="8"/>
      <c r="B30" s="4"/>
      <c r="C30" s="10"/>
      <c r="D30" s="11"/>
      <c r="E30" s="54"/>
      <c r="F30" s="11"/>
      <c r="G30" s="46"/>
      <c r="H30" s="46"/>
      <c r="I30" s="56"/>
      <c r="J30" s="46"/>
      <c r="K30" s="46"/>
      <c r="L30" s="46"/>
      <c r="M30" s="46"/>
      <c r="N30" s="46"/>
      <c r="O30" s="46"/>
      <c r="P30" s="12"/>
      <c r="Q30" s="56"/>
      <c r="R30" s="16"/>
      <c r="S30" s="62"/>
    </row>
    <row r="31" spans="1:19" s="114" customFormat="1" ht="22.5" customHeight="1">
      <c r="A31" s="65"/>
      <c r="B31" s="70"/>
      <c r="C31" s="153" t="s">
        <v>20</v>
      </c>
      <c r="D31" s="154"/>
      <c r="E31" s="155"/>
      <c r="F31" s="154"/>
      <c r="G31" s="156"/>
      <c r="H31" s="156"/>
      <c r="I31" s="156"/>
      <c r="J31" s="156"/>
      <c r="K31" s="157"/>
      <c r="L31" s="156"/>
      <c r="M31" s="157"/>
      <c r="N31" s="156"/>
      <c r="O31" s="157"/>
      <c r="P31" s="158"/>
      <c r="Q31" s="159"/>
      <c r="R31" s="160"/>
      <c r="S31" s="71"/>
    </row>
    <row r="32" spans="1:19" s="114" customFormat="1" ht="22.5" customHeight="1">
      <c r="A32" s="65"/>
      <c r="B32" s="70"/>
      <c r="C32" s="153" t="s">
        <v>21</v>
      </c>
      <c r="D32" s="154"/>
      <c r="E32" s="155"/>
      <c r="F32" s="154"/>
      <c r="G32" s="156"/>
      <c r="H32" s="156"/>
      <c r="I32" s="156"/>
      <c r="J32" s="156"/>
      <c r="K32" s="157"/>
      <c r="L32" s="156"/>
      <c r="M32" s="157"/>
      <c r="N32" s="156"/>
      <c r="O32" s="157"/>
      <c r="P32" s="158"/>
      <c r="Q32" s="159"/>
      <c r="R32" s="160"/>
      <c r="S32" s="71"/>
    </row>
    <row r="33" spans="1:19" s="114" customFormat="1" ht="22.5" customHeight="1">
      <c r="A33" s="65"/>
      <c r="B33" s="70"/>
      <c r="C33" s="287" t="s">
        <v>22</v>
      </c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  <c r="P33" s="287"/>
      <c r="Q33" s="287"/>
      <c r="R33" s="287"/>
      <c r="S33" s="71"/>
    </row>
    <row r="34" spans="1:19" ht="18.75">
      <c r="A34" s="8"/>
      <c r="B34" s="4"/>
      <c r="C34" s="17"/>
      <c r="D34" s="11"/>
      <c r="E34" s="10"/>
      <c r="F34" s="11"/>
      <c r="G34" s="48"/>
      <c r="H34" s="48"/>
      <c r="I34" s="48"/>
      <c r="J34" s="48"/>
      <c r="K34" s="49"/>
      <c r="L34" s="48"/>
      <c r="M34" s="49"/>
      <c r="N34" s="48"/>
      <c r="O34" s="49"/>
      <c r="P34" s="14"/>
      <c r="Q34" s="15"/>
      <c r="R34" s="16"/>
      <c r="S34" s="62"/>
    </row>
    <row r="35" spans="1:19" ht="32.450000000000003" customHeight="1">
      <c r="A35" s="8"/>
      <c r="B35" s="4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62"/>
    </row>
    <row r="36" spans="1:19" ht="22.5" customHeight="1">
      <c r="A36" s="8"/>
      <c r="B36" s="4"/>
      <c r="C36" s="10"/>
      <c r="D36" s="11"/>
      <c r="E36" s="11"/>
      <c r="F36" s="11"/>
      <c r="G36" s="45"/>
      <c r="H36" s="45"/>
      <c r="I36" s="45"/>
      <c r="J36" s="45"/>
      <c r="K36" s="45"/>
      <c r="L36" s="45"/>
      <c r="M36" s="45"/>
      <c r="N36" s="45"/>
      <c r="O36" s="45"/>
      <c r="P36" s="11"/>
      <c r="Q36" s="11"/>
      <c r="R36" s="16"/>
      <c r="S36" s="62"/>
    </row>
    <row r="37" spans="1:19" ht="32.450000000000003" customHeight="1">
      <c r="A37" s="8"/>
      <c r="B37" s="4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45"/>
      <c r="O37" s="45"/>
      <c r="P37" s="11"/>
      <c r="Q37" s="11"/>
      <c r="R37" s="16"/>
      <c r="S37" s="62"/>
    </row>
    <row r="38" spans="1:19" ht="15" customHeight="1">
      <c r="A38" s="8"/>
      <c r="B38" s="6"/>
      <c r="C38" s="7"/>
      <c r="D38" s="7"/>
      <c r="E38" s="7"/>
      <c r="F38" s="7"/>
      <c r="G38" s="50"/>
      <c r="H38" s="50"/>
      <c r="I38" s="50"/>
      <c r="J38" s="50"/>
      <c r="K38" s="50"/>
      <c r="L38" s="50"/>
      <c r="M38" s="50"/>
      <c r="N38" s="50"/>
      <c r="O38" s="50"/>
      <c r="P38" s="7"/>
      <c r="Q38" s="7"/>
      <c r="R38" s="7"/>
      <c r="S38" s="63"/>
    </row>
    <row r="39" spans="1:19">
      <c r="A39" s="8"/>
      <c r="G39" s="51"/>
      <c r="H39" s="51"/>
      <c r="I39" s="51"/>
      <c r="J39" s="51"/>
      <c r="K39" s="51"/>
      <c r="L39" s="51"/>
      <c r="M39" s="51"/>
      <c r="N39" s="51"/>
      <c r="O39" s="51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6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</sheetPr>
  <dimension ref="A1:AD57"/>
  <sheetViews>
    <sheetView showGridLines="0" topLeftCell="A10" zoomScale="85" zoomScaleNormal="85" workbookViewId="0">
      <selection activeCell="D40" sqref="D40"/>
    </sheetView>
  </sheetViews>
  <sheetFormatPr defaultColWidth="11.42578125" defaultRowHeight="15"/>
  <cols>
    <col min="1" max="1" width="2.85546875" style="65" customWidth="1"/>
    <col min="2" max="2" width="4.28515625" style="55" customWidth="1"/>
    <col min="3" max="3" width="35.7109375" style="55" customWidth="1"/>
    <col min="4" max="11" width="21.28515625" style="55" customWidth="1"/>
    <col min="12" max="12" width="4.28515625" style="55" customWidth="1"/>
    <col min="13" max="13" width="2.85546875" style="55" customWidth="1"/>
    <col min="14" max="17" width="11.42578125" style="55" customWidth="1"/>
    <col min="18" max="18" width="22.5703125" style="55" bestFit="1" customWidth="1"/>
    <col min="19" max="26" width="11.42578125" style="55" customWidth="1"/>
    <col min="27" max="27" width="19.140625" style="55" bestFit="1" customWidth="1"/>
    <col min="28" max="28" width="12.7109375" style="55" bestFit="1" customWidth="1"/>
    <col min="29" max="29" width="10.5703125" style="55" bestFit="1" customWidth="1"/>
    <col min="30" max="34" width="11.42578125" style="55" customWidth="1"/>
    <col min="35" max="16384" width="11.42578125" style="55"/>
  </cols>
  <sheetData>
    <row r="1" spans="1:30"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30">
      <c r="B2" s="66"/>
      <c r="C2" s="67"/>
      <c r="D2" s="67"/>
      <c r="E2" s="67"/>
      <c r="F2" s="67"/>
      <c r="G2" s="67"/>
      <c r="H2" s="67"/>
      <c r="I2" s="67"/>
      <c r="J2" s="67"/>
      <c r="K2" s="67"/>
      <c r="L2" s="68"/>
      <c r="P2" s="69"/>
    </row>
    <row r="3" spans="1:30">
      <c r="B3" s="70"/>
      <c r="L3" s="71"/>
    </row>
    <row r="4" spans="1:30">
      <c r="B4" s="70"/>
      <c r="L4" s="71"/>
    </row>
    <row r="5" spans="1:30">
      <c r="B5" s="70"/>
      <c r="L5" s="71"/>
    </row>
    <row r="6" spans="1:30" hidden="1">
      <c r="B6" s="70"/>
      <c r="L6" s="71"/>
    </row>
    <row r="7" spans="1:30">
      <c r="B7" s="70"/>
      <c r="L7" s="71"/>
    </row>
    <row r="8" spans="1:30" s="114" customFormat="1" ht="60" customHeight="1">
      <c r="A8" s="65"/>
      <c r="B8" s="70"/>
      <c r="C8" s="283" t="str">
        <f>'Page de garde'!C13&amp;" : Nombre d'Assurés par société"</f>
        <v xml:space="preserve"> : Nombre d'Assurés par société</v>
      </c>
      <c r="D8" s="284"/>
      <c r="E8" s="284"/>
      <c r="F8" s="284"/>
      <c r="G8" s="284"/>
      <c r="H8" s="284"/>
      <c r="I8" s="284"/>
      <c r="J8" s="284"/>
      <c r="K8" s="285"/>
      <c r="L8" s="71"/>
    </row>
    <row r="9" spans="1:30" s="114" customFormat="1" hidden="1">
      <c r="A9" s="65"/>
      <c r="B9" s="70"/>
      <c r="L9" s="71"/>
    </row>
    <row r="10" spans="1:30" s="114" customFormat="1">
      <c r="A10" s="65"/>
      <c r="B10" s="70"/>
      <c r="L10" s="71"/>
    </row>
    <row r="11" spans="1:30" s="114" customFormat="1" ht="18.75" customHeight="1">
      <c r="A11" s="65"/>
      <c r="B11" s="70"/>
      <c r="C11" s="248" t="s">
        <v>23</v>
      </c>
      <c r="L11" s="71"/>
    </row>
    <row r="12" spans="1:30" s="114" customFormat="1" ht="22.5" customHeight="1">
      <c r="A12" s="65"/>
      <c r="B12" s="70"/>
      <c r="L12" s="71"/>
    </row>
    <row r="13" spans="1:30" s="74" customFormat="1" ht="22.5" customHeight="1">
      <c r="A13" s="72"/>
      <c r="B13" s="73"/>
      <c r="D13" s="288" t="s">
        <v>24</v>
      </c>
      <c r="E13" s="289"/>
      <c r="F13" s="243" t="s">
        <v>25</v>
      </c>
      <c r="G13" s="240" t="s">
        <v>26</v>
      </c>
      <c r="H13" s="91"/>
      <c r="I13" s="91"/>
      <c r="J13" s="91"/>
      <c r="K13" s="91"/>
      <c r="L13" s="75"/>
    </row>
    <row r="14" spans="1:30" s="80" customFormat="1" ht="14.25" customHeight="1">
      <c r="A14" s="76"/>
      <c r="B14" s="77"/>
      <c r="C14" s="78"/>
      <c r="D14" s="241" t="s">
        <v>27</v>
      </c>
      <c r="E14" s="242" t="s">
        <v>28</v>
      </c>
      <c r="F14" s="244"/>
      <c r="G14" s="242" t="s">
        <v>29</v>
      </c>
      <c r="H14" s="91"/>
      <c r="I14" s="91"/>
      <c r="J14" s="91"/>
      <c r="K14" s="91"/>
      <c r="L14" s="79"/>
      <c r="R14" s="81"/>
      <c r="Z14" s="82"/>
      <c r="AA14" s="82"/>
      <c r="AB14" s="83" t="s">
        <v>27</v>
      </c>
      <c r="AC14" s="83" t="s">
        <v>28</v>
      </c>
      <c r="AD14" s="84"/>
    </row>
    <row r="15" spans="1:30" s="80" customFormat="1" ht="14.25" customHeight="1">
      <c r="A15" s="76"/>
      <c r="B15" s="77"/>
      <c r="C15" s="85"/>
      <c r="D15" s="180"/>
      <c r="E15" s="180"/>
      <c r="F15" s="86"/>
      <c r="G15" s="87"/>
      <c r="H15" s="91"/>
      <c r="I15" s="91"/>
      <c r="J15" s="91"/>
      <c r="K15" s="91"/>
      <c r="L15" s="79"/>
      <c r="Z15" s="82"/>
      <c r="AA15" s="82"/>
      <c r="AB15" s="82"/>
      <c r="AC15" s="82"/>
      <c r="AD15" s="84"/>
    </row>
    <row r="16" spans="1:30" s="80" customFormat="1" ht="14.25" customHeight="1">
      <c r="A16" s="76"/>
      <c r="B16" s="77"/>
      <c r="C16" s="207" t="s">
        <v>30</v>
      </c>
      <c r="D16" s="181"/>
      <c r="E16" s="181"/>
      <c r="F16" s="88"/>
      <c r="G16" s="89"/>
      <c r="H16" s="91"/>
      <c r="I16" s="91"/>
      <c r="J16" s="91"/>
      <c r="K16" s="91"/>
      <c r="L16" s="79"/>
      <c r="Z16" s="82"/>
      <c r="AA16" s="82"/>
      <c r="AB16" s="82"/>
      <c r="AC16" s="82"/>
      <c r="AD16" s="84"/>
    </row>
    <row r="17" spans="1:30" s="80" customFormat="1" ht="14.25" customHeight="1">
      <c r="A17" s="76"/>
      <c r="B17" s="77"/>
      <c r="C17" s="207" t="s">
        <v>31</v>
      </c>
      <c r="D17" s="181"/>
      <c r="E17" s="181"/>
      <c r="F17" s="88"/>
      <c r="G17" s="89"/>
      <c r="H17" s="91"/>
      <c r="I17" s="91"/>
      <c r="J17" s="91"/>
      <c r="K17" s="91"/>
      <c r="L17" s="79"/>
      <c r="Z17" s="82"/>
      <c r="AA17" s="82"/>
      <c r="AB17" s="82"/>
      <c r="AC17" s="82"/>
      <c r="AD17" s="84"/>
    </row>
    <row r="18" spans="1:30" s="80" customFormat="1" ht="14.25" customHeight="1">
      <c r="A18" s="76"/>
      <c r="B18" s="77"/>
      <c r="C18" s="207" t="s">
        <v>32</v>
      </c>
      <c r="D18" s="181"/>
      <c r="E18" s="181"/>
      <c r="F18" s="88"/>
      <c r="G18" s="89"/>
      <c r="H18" s="91"/>
      <c r="I18" s="91"/>
      <c r="J18" s="91"/>
      <c r="K18" s="91"/>
      <c r="L18" s="79"/>
      <c r="Z18" s="82"/>
      <c r="AA18" s="82"/>
      <c r="AB18" s="82"/>
      <c r="AC18" s="82"/>
      <c r="AD18" s="84"/>
    </row>
    <row r="19" spans="1:30" s="80" customFormat="1" ht="14.25" customHeight="1">
      <c r="A19" s="76"/>
      <c r="B19" s="77"/>
      <c r="C19" s="232" t="s">
        <v>33</v>
      </c>
      <c r="D19" s="233"/>
      <c r="E19" s="233"/>
      <c r="F19" s="234"/>
      <c r="G19" s="235"/>
      <c r="H19" s="91"/>
      <c r="I19" s="91"/>
      <c r="J19" s="91"/>
      <c r="K19" s="91"/>
      <c r="L19" s="79"/>
    </row>
    <row r="20" spans="1:30" s="80" customFormat="1" ht="14.25" customHeight="1">
      <c r="A20" s="76"/>
      <c r="B20" s="77"/>
      <c r="C20" s="90"/>
      <c r="D20" s="91"/>
      <c r="E20" s="91"/>
      <c r="F20" s="92"/>
      <c r="G20" s="93"/>
      <c r="H20" s="91"/>
      <c r="I20" s="91"/>
      <c r="J20" s="92"/>
      <c r="K20" s="93"/>
      <c r="L20" s="79"/>
    </row>
    <row r="21" spans="1:30" s="80" customFormat="1" ht="14.25" customHeight="1">
      <c r="A21" s="76"/>
      <c r="B21" s="77"/>
      <c r="C21" s="90"/>
      <c r="D21" s="91"/>
      <c r="E21" s="91"/>
      <c r="F21" s="92"/>
      <c r="G21" s="93"/>
      <c r="H21" s="91"/>
      <c r="I21" s="91"/>
      <c r="J21" s="92"/>
      <c r="K21" s="93"/>
      <c r="L21" s="79"/>
    </row>
    <row r="22" spans="1:30" s="80" customFormat="1" ht="14.25" customHeight="1">
      <c r="A22" s="76"/>
      <c r="B22" s="77"/>
      <c r="C22" s="90"/>
      <c r="D22" s="91"/>
      <c r="E22" s="91"/>
      <c r="F22" s="92"/>
      <c r="G22" s="93"/>
      <c r="H22" s="91"/>
      <c r="I22" s="91"/>
      <c r="J22" s="92"/>
      <c r="K22" s="93"/>
      <c r="L22" s="79"/>
    </row>
    <row r="23" spans="1:30" s="80" customFormat="1" ht="14.25" customHeight="1">
      <c r="A23" s="76"/>
      <c r="B23" s="77"/>
      <c r="C23" s="90"/>
      <c r="D23" s="91"/>
      <c r="E23" s="91"/>
      <c r="F23" s="92"/>
      <c r="G23" s="93"/>
      <c r="H23" s="91"/>
      <c r="I23" s="91"/>
      <c r="J23" s="92"/>
      <c r="K23" s="93"/>
      <c r="L23" s="79"/>
    </row>
    <row r="24" spans="1:30" s="80" customFormat="1" ht="14.25" customHeight="1">
      <c r="A24" s="76"/>
      <c r="B24" s="77"/>
      <c r="C24" s="90"/>
      <c r="D24" s="91"/>
      <c r="E24" s="91"/>
      <c r="F24" s="92"/>
      <c r="G24" s="93"/>
      <c r="H24" s="91"/>
      <c r="I24" s="91"/>
      <c r="J24" s="92"/>
      <c r="K24" s="93"/>
      <c r="L24" s="79"/>
    </row>
    <row r="25" spans="1:30" s="80" customFormat="1" ht="14.25" customHeight="1">
      <c r="A25" s="76"/>
      <c r="B25" s="77"/>
      <c r="C25" s="90"/>
      <c r="D25" s="91"/>
      <c r="E25" s="91"/>
      <c r="F25" s="92"/>
      <c r="G25" s="93"/>
      <c r="H25" s="91"/>
      <c r="I25" s="91"/>
      <c r="J25" s="92"/>
      <c r="K25" s="93"/>
      <c r="L25" s="79"/>
    </row>
    <row r="26" spans="1:30" s="80" customFormat="1" ht="14.25" customHeight="1">
      <c r="A26" s="76"/>
      <c r="B26" s="77"/>
      <c r="C26" s="90"/>
      <c r="D26" s="91"/>
      <c r="E26" s="91"/>
      <c r="F26" s="92"/>
      <c r="G26" s="93"/>
      <c r="H26" s="91"/>
      <c r="I26" s="91"/>
      <c r="J26" s="92"/>
      <c r="K26" s="93"/>
      <c r="L26" s="79"/>
    </row>
    <row r="27" spans="1:30" s="80" customFormat="1" ht="14.25" customHeight="1">
      <c r="A27" s="76"/>
      <c r="B27" s="77"/>
      <c r="C27" s="90"/>
      <c r="D27" s="91"/>
      <c r="E27" s="91"/>
      <c r="F27" s="92"/>
      <c r="G27" s="93"/>
      <c r="H27" s="91"/>
      <c r="I27" s="91"/>
      <c r="J27" s="92"/>
      <c r="K27" s="93"/>
      <c r="L27" s="79"/>
    </row>
    <row r="28" spans="1:30" s="80" customFormat="1" ht="14.25" customHeight="1">
      <c r="A28" s="76"/>
      <c r="B28" s="77"/>
      <c r="C28" s="90"/>
      <c r="D28" s="91"/>
      <c r="E28" s="91"/>
      <c r="F28" s="92"/>
      <c r="G28" s="93"/>
      <c r="H28" s="91"/>
      <c r="I28" s="91"/>
      <c r="J28" s="92"/>
      <c r="K28" s="93"/>
      <c r="L28" s="79"/>
    </row>
    <row r="29" spans="1:30" s="80" customFormat="1" ht="14.25" customHeight="1">
      <c r="A29" s="76"/>
      <c r="B29" s="77"/>
      <c r="C29" s="90"/>
      <c r="D29" s="91"/>
      <c r="E29" s="91"/>
      <c r="F29" s="92"/>
      <c r="G29" s="93"/>
      <c r="H29" s="91"/>
      <c r="I29" s="91"/>
      <c r="J29" s="92"/>
      <c r="K29" s="93"/>
      <c r="L29" s="79"/>
    </row>
    <row r="30" spans="1:30" s="80" customFormat="1" ht="14.25" customHeight="1">
      <c r="A30" s="76"/>
      <c r="B30" s="77"/>
      <c r="C30" s="90"/>
      <c r="D30" s="91"/>
      <c r="E30" s="91"/>
      <c r="F30" s="92"/>
      <c r="G30" s="93"/>
      <c r="H30" s="91"/>
      <c r="I30" s="91"/>
      <c r="J30" s="92"/>
      <c r="K30" s="93"/>
      <c r="L30" s="79"/>
    </row>
    <row r="31" spans="1:30" s="80" customFormat="1" ht="14.25" customHeight="1">
      <c r="A31" s="76"/>
      <c r="B31" s="77"/>
      <c r="C31" s="90"/>
      <c r="D31" s="91"/>
      <c r="E31" s="91"/>
      <c r="F31" s="92"/>
      <c r="G31" s="93"/>
      <c r="H31" s="91"/>
      <c r="I31" s="91"/>
      <c r="J31" s="92"/>
      <c r="K31" s="93"/>
      <c r="L31" s="79"/>
    </row>
    <row r="32" spans="1:30" ht="14.25" customHeight="1">
      <c r="B32" s="70"/>
      <c r="L32" s="71"/>
    </row>
    <row r="33" spans="2:12" ht="14.25" customHeight="1">
      <c r="B33" s="70"/>
      <c r="L33" s="71"/>
    </row>
    <row r="34" spans="2:12" ht="14.25" customHeight="1">
      <c r="B34" s="70"/>
      <c r="L34" s="71"/>
    </row>
    <row r="35" spans="2:12" ht="14.25" customHeight="1">
      <c r="B35" s="70"/>
      <c r="L35" s="71"/>
    </row>
    <row r="36" spans="2:12" ht="14.25" customHeight="1">
      <c r="B36" s="70"/>
      <c r="L36" s="71"/>
    </row>
    <row r="37" spans="2:12" ht="14.25" customHeight="1">
      <c r="B37" s="70"/>
      <c r="L37" s="71"/>
    </row>
    <row r="38" spans="2:12" ht="14.25" customHeight="1">
      <c r="B38" s="70"/>
      <c r="L38" s="71"/>
    </row>
    <row r="39" spans="2:12" ht="14.25" customHeight="1">
      <c r="B39" s="70"/>
      <c r="L39" s="71"/>
    </row>
    <row r="40" spans="2:12" ht="14.25" customHeight="1">
      <c r="B40" s="70"/>
      <c r="L40" s="71"/>
    </row>
    <row r="41" spans="2:12" ht="14.25" customHeight="1">
      <c r="B41" s="70"/>
      <c r="L41" s="71"/>
    </row>
    <row r="42" spans="2:12" ht="14.25" customHeight="1">
      <c r="B42" s="70"/>
      <c r="L42" s="71"/>
    </row>
    <row r="43" spans="2:12" ht="14.25" customHeight="1">
      <c r="B43" s="70"/>
      <c r="L43" s="71"/>
    </row>
    <row r="44" spans="2:12" ht="14.25" customHeight="1">
      <c r="B44" s="70"/>
      <c r="L44" s="71"/>
    </row>
    <row r="45" spans="2:12" ht="14.25" customHeight="1">
      <c r="B45" s="70"/>
      <c r="L45" s="71"/>
    </row>
    <row r="46" spans="2:12" ht="14.25" customHeight="1">
      <c r="B46" s="70"/>
      <c r="L46" s="71"/>
    </row>
    <row r="47" spans="2:12" ht="14.25" customHeight="1">
      <c r="B47" s="70"/>
      <c r="L47" s="71"/>
    </row>
    <row r="48" spans="2:12" ht="14.25" customHeight="1">
      <c r="B48" s="70"/>
      <c r="L48" s="71"/>
    </row>
    <row r="49" spans="1:12" ht="14.25" customHeight="1">
      <c r="B49" s="70"/>
      <c r="L49" s="71"/>
    </row>
    <row r="50" spans="1:12" ht="14.25" customHeight="1">
      <c r="B50" s="70"/>
      <c r="L50" s="71"/>
    </row>
    <row r="51" spans="1:12" s="190" customFormat="1" ht="14.25" customHeight="1">
      <c r="A51" s="184"/>
      <c r="B51" s="185"/>
      <c r="L51" s="189"/>
    </row>
    <row r="52" spans="1:12" s="190" customFormat="1" ht="14.25" customHeight="1">
      <c r="A52" s="184"/>
      <c r="B52" s="185"/>
      <c r="L52" s="189"/>
    </row>
    <row r="53" spans="1:12" s="190" customFormat="1" ht="14.25" customHeight="1">
      <c r="A53" s="184"/>
      <c r="B53" s="185"/>
      <c r="L53" s="189"/>
    </row>
    <row r="54" spans="1:12" s="190" customFormat="1" ht="14.25" customHeight="1">
      <c r="A54" s="184"/>
      <c r="B54" s="185"/>
      <c r="L54" s="189"/>
    </row>
    <row r="55" spans="1:12" s="190" customFormat="1" ht="14.25" customHeight="1">
      <c r="A55" s="184"/>
      <c r="B55" s="185"/>
      <c r="L55" s="189"/>
    </row>
    <row r="56" spans="1:12" ht="14.25" customHeight="1">
      <c r="B56" s="70"/>
      <c r="L56" s="71"/>
    </row>
    <row r="57" spans="1:12" ht="7.5" customHeight="1">
      <c r="B57" s="94"/>
      <c r="C57" s="95"/>
      <c r="D57" s="95"/>
      <c r="E57" s="95"/>
      <c r="F57" s="95"/>
      <c r="G57" s="95"/>
      <c r="H57" s="95"/>
      <c r="I57" s="95"/>
      <c r="J57" s="95"/>
      <c r="K57" s="95"/>
      <c r="L57" s="96"/>
    </row>
  </sheetData>
  <mergeCells count="2">
    <mergeCell ref="C8:K8"/>
    <mergeCell ref="D13:E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8"/>
  <sheetViews>
    <sheetView showGridLines="0" topLeftCell="A14" zoomScale="85" zoomScaleNormal="85" workbookViewId="0">
      <selection activeCell="K34" sqref="K34:P42"/>
    </sheetView>
  </sheetViews>
  <sheetFormatPr defaultColWidth="11.42578125" defaultRowHeight="15"/>
  <cols>
    <col min="1" max="1" width="2.85546875" style="9" customWidth="1"/>
    <col min="2" max="2" width="4.28515625" style="3" customWidth="1"/>
    <col min="3" max="3" width="20" style="3" customWidth="1"/>
    <col min="4" max="4" width="11.42578125" style="3" customWidth="1"/>
    <col min="5" max="5" width="12.5703125" style="3" customWidth="1"/>
    <col min="6" max="6" width="11.42578125" style="3" customWidth="1"/>
    <col min="7" max="7" width="13.42578125" style="3" customWidth="1"/>
    <col min="8" max="9" width="11.42578125" style="3" customWidth="1"/>
    <col min="10" max="10" width="18.42578125" style="3" customWidth="1"/>
    <col min="11" max="11" width="34.28515625" style="3" customWidth="1"/>
    <col min="12" max="12" width="11.42578125" style="3" customWidth="1"/>
    <col min="13" max="13" width="17.140625" style="3" customWidth="1"/>
    <col min="14" max="16" width="11.42578125" style="3" customWidth="1"/>
    <col min="17" max="17" width="4.140625" style="3" customWidth="1"/>
    <col min="18" max="18" width="2.85546875" style="3" customWidth="1"/>
    <col min="19" max="20" width="11.42578125" style="3" customWidth="1"/>
    <col min="21" max="21" width="19.7109375" style="3" bestFit="1" customWidth="1"/>
    <col min="22" max="26" width="11.42578125" style="3" customWidth="1"/>
    <col min="27" max="16384" width="11.42578125" style="3"/>
  </cols>
  <sheetData>
    <row r="1" spans="1:21" ht="1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9"/>
      <c r="R1" s="8"/>
    </row>
    <row r="2" spans="1:21" ht="15" customHeight="1">
      <c r="B2" s="59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1"/>
      <c r="U2" s="40"/>
    </row>
    <row r="3" spans="1:21" ht="15" customHeight="1">
      <c r="A3" s="8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2"/>
    </row>
    <row r="4" spans="1:21" ht="15" customHeight="1">
      <c r="A4" s="8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2"/>
    </row>
    <row r="5" spans="1:21" ht="15" customHeight="1">
      <c r="A5" s="8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62"/>
    </row>
    <row r="6" spans="1:21" ht="15" customHeight="1">
      <c r="A6" s="8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2"/>
    </row>
    <row r="7" spans="1:21" ht="15" hidden="1" customHeight="1">
      <c r="A7" s="8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2"/>
    </row>
    <row r="8" spans="1:21" s="114" customFormat="1" ht="60" customHeight="1">
      <c r="A8" s="65"/>
      <c r="B8" s="70"/>
      <c r="C8" s="283" t="str">
        <f>'Page de garde'!C13&amp;" : Démographie des Assurés vue au "&amp;AFFICHAGE!N2</f>
        <v xml:space="preserve"> : Démographie des Assurés vue au 31/12/2020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5"/>
      <c r="Q8" s="71"/>
    </row>
    <row r="9" spans="1:21" s="114" customFormat="1" ht="15" customHeight="1">
      <c r="A9" s="65"/>
      <c r="B9" s="70"/>
      <c r="Q9" s="71"/>
    </row>
    <row r="10" spans="1:21" s="114" customFormat="1" ht="15" customHeight="1">
      <c r="A10" s="65"/>
      <c r="B10" s="70"/>
      <c r="Q10" s="71"/>
    </row>
    <row r="11" spans="1:21" s="114" customFormat="1" ht="15" customHeight="1">
      <c r="A11" s="65"/>
      <c r="B11" s="70"/>
      <c r="C11" s="161" t="s">
        <v>34</v>
      </c>
      <c r="K11" s="162" t="s">
        <v>35</v>
      </c>
      <c r="Q11" s="71"/>
    </row>
    <row r="12" spans="1:21" s="114" customFormat="1" ht="30" customHeight="1">
      <c r="A12" s="65"/>
      <c r="B12" s="70"/>
      <c r="Q12" s="71"/>
    </row>
    <row r="13" spans="1:21" s="114" customFormat="1" ht="45">
      <c r="A13" s="65"/>
      <c r="B13" s="70"/>
      <c r="C13" s="19"/>
      <c r="D13" s="116" t="s">
        <v>36</v>
      </c>
      <c r="E13" s="116" t="s">
        <v>37</v>
      </c>
      <c r="F13" s="116" t="s">
        <v>28</v>
      </c>
      <c r="G13" s="116" t="s">
        <v>38</v>
      </c>
      <c r="H13" s="116" t="s">
        <v>39</v>
      </c>
      <c r="K13" s="22" t="s">
        <v>40</v>
      </c>
      <c r="L13" s="22" t="s">
        <v>41</v>
      </c>
      <c r="M13" s="22" t="s">
        <v>42</v>
      </c>
      <c r="N13" s="36" t="s">
        <v>33</v>
      </c>
      <c r="Q13" s="71"/>
    </row>
    <row r="14" spans="1:21" s="114" customFormat="1" ht="15" customHeight="1">
      <c r="A14" s="65"/>
      <c r="B14" s="70"/>
      <c r="C14" s="20" t="s">
        <v>41</v>
      </c>
      <c r="D14" s="208"/>
      <c r="E14" s="209"/>
      <c r="F14" s="208"/>
      <c r="G14" s="209"/>
      <c r="H14" s="210"/>
      <c r="K14" s="20" t="s">
        <v>43</v>
      </c>
      <c r="L14" s="23"/>
      <c r="M14" s="24"/>
      <c r="N14" s="34"/>
      <c r="Q14" s="71"/>
    </row>
    <row r="15" spans="1:21" s="114" customFormat="1" ht="15" customHeight="1">
      <c r="A15" s="65"/>
      <c r="B15" s="70"/>
      <c r="C15" s="211" t="s">
        <v>42</v>
      </c>
      <c r="D15" s="212"/>
      <c r="E15" s="213"/>
      <c r="F15" s="212"/>
      <c r="G15" s="213"/>
      <c r="H15" s="214"/>
      <c r="K15" s="20" t="s">
        <v>44</v>
      </c>
      <c r="L15" s="23"/>
      <c r="M15" s="24"/>
      <c r="N15" s="34"/>
      <c r="Q15" s="71"/>
    </row>
    <row r="16" spans="1:21" s="114" customFormat="1" ht="15" customHeight="1">
      <c r="A16" s="65"/>
      <c r="B16" s="70"/>
      <c r="C16" s="228" t="s">
        <v>33</v>
      </c>
      <c r="D16" s="229"/>
      <c r="E16" s="230"/>
      <c r="F16" s="229"/>
      <c r="G16" s="230"/>
      <c r="H16" s="231"/>
      <c r="K16" s="20" t="s">
        <v>45</v>
      </c>
      <c r="L16" s="23"/>
      <c r="M16" s="24"/>
      <c r="N16" s="34"/>
      <c r="Q16" s="71"/>
    </row>
    <row r="17" spans="1:17" s="114" customFormat="1" ht="15" customHeight="1">
      <c r="A17" s="65"/>
      <c r="B17" s="70"/>
      <c r="K17" s="20" t="s">
        <v>46</v>
      </c>
      <c r="L17" s="23"/>
      <c r="M17" s="24"/>
      <c r="N17" s="34"/>
      <c r="Q17" s="71"/>
    </row>
    <row r="18" spans="1:17" ht="15" customHeight="1">
      <c r="A18" s="8"/>
      <c r="B18" s="4"/>
      <c r="C18" s="5"/>
      <c r="D18" s="5"/>
      <c r="E18" s="5"/>
      <c r="F18" s="5"/>
      <c r="G18" s="5"/>
      <c r="H18" s="5"/>
      <c r="I18" s="5"/>
      <c r="J18" s="5"/>
      <c r="K18" s="20" t="s">
        <v>47</v>
      </c>
      <c r="L18" s="23"/>
      <c r="M18" s="24"/>
      <c r="N18" s="34"/>
      <c r="O18" s="5"/>
      <c r="P18" s="5"/>
      <c r="Q18" s="62"/>
    </row>
    <row r="19" spans="1:17" ht="15" customHeight="1">
      <c r="A19" s="8"/>
      <c r="B19" s="4"/>
      <c r="C19" s="5"/>
      <c r="D19" s="5"/>
      <c r="E19" s="5"/>
      <c r="F19" s="5"/>
      <c r="G19" s="5"/>
      <c r="H19" s="5"/>
      <c r="I19" s="5"/>
      <c r="J19" s="5"/>
      <c r="K19" s="20" t="s">
        <v>48</v>
      </c>
      <c r="L19" s="23"/>
      <c r="M19" s="24"/>
      <c r="N19" s="34"/>
      <c r="O19" s="5"/>
      <c r="P19" s="5"/>
      <c r="Q19" s="62"/>
    </row>
    <row r="20" spans="1:17" ht="15" customHeight="1">
      <c r="A20" s="8"/>
      <c r="B20" s="4"/>
      <c r="C20" s="5"/>
      <c r="D20" s="5"/>
      <c r="E20" s="5"/>
      <c r="F20" s="5"/>
      <c r="G20" s="5"/>
      <c r="H20" s="5"/>
      <c r="I20" s="5"/>
      <c r="J20" s="5"/>
      <c r="K20" s="20" t="s">
        <v>49</v>
      </c>
      <c r="L20" s="23"/>
      <c r="M20" s="24"/>
      <c r="N20" s="34"/>
      <c r="O20" s="5"/>
      <c r="P20" s="5"/>
      <c r="Q20" s="62"/>
    </row>
    <row r="21" spans="1:17" ht="15" customHeight="1">
      <c r="A21" s="8"/>
      <c r="B21" s="4"/>
      <c r="C21" s="5"/>
      <c r="D21" s="5"/>
      <c r="E21" s="5"/>
      <c r="F21" s="5"/>
      <c r="G21" s="5"/>
      <c r="H21" s="5"/>
      <c r="I21" s="5"/>
      <c r="J21" s="5"/>
      <c r="K21" s="20" t="s">
        <v>50</v>
      </c>
      <c r="L21" s="23"/>
      <c r="M21" s="24"/>
      <c r="N21" s="34"/>
      <c r="O21" s="5"/>
      <c r="P21" s="5"/>
      <c r="Q21" s="62"/>
    </row>
    <row r="22" spans="1:17" ht="15" customHeight="1">
      <c r="A22" s="8"/>
      <c r="B22" s="4"/>
      <c r="C22" s="5"/>
      <c r="D22" s="5"/>
      <c r="E22" s="5"/>
      <c r="F22" s="5"/>
      <c r="G22" s="5"/>
      <c r="H22" s="5"/>
      <c r="I22" s="5"/>
      <c r="J22" s="5"/>
      <c r="K22" s="20" t="s">
        <v>51</v>
      </c>
      <c r="L22" s="23"/>
      <c r="M22" s="24"/>
      <c r="N22" s="34"/>
      <c r="O22" s="5"/>
      <c r="P22" s="5"/>
      <c r="Q22" s="62"/>
    </row>
    <row r="23" spans="1:17" ht="15" customHeight="1">
      <c r="A23" s="8"/>
      <c r="B23" s="4"/>
      <c r="C23" s="5"/>
      <c r="D23" s="5"/>
      <c r="E23" s="5"/>
      <c r="F23" s="5"/>
      <c r="G23" s="5"/>
      <c r="H23" s="5"/>
      <c r="I23" s="5"/>
      <c r="J23" s="5"/>
      <c r="K23" s="21" t="s">
        <v>33</v>
      </c>
      <c r="L23" s="25"/>
      <c r="M23" s="26"/>
      <c r="N23" s="35"/>
      <c r="O23" s="5"/>
      <c r="P23" s="5"/>
      <c r="Q23" s="62"/>
    </row>
    <row r="24" spans="1:17" ht="15" customHeight="1">
      <c r="A24" s="8"/>
      <c r="B24" s="4"/>
      <c r="C24" s="5"/>
      <c r="D24" s="5"/>
      <c r="E24" s="5"/>
      <c r="F24" s="5"/>
      <c r="G24" s="5"/>
      <c r="H24" s="5"/>
      <c r="I24" s="5"/>
      <c r="J24" s="5"/>
      <c r="O24" s="5"/>
      <c r="P24" s="5"/>
      <c r="Q24" s="62"/>
    </row>
    <row r="25" spans="1:17" ht="15" customHeight="1">
      <c r="A25" s="8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2"/>
    </row>
    <row r="26" spans="1:17" ht="15" customHeight="1">
      <c r="A26" s="8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2"/>
    </row>
    <row r="27" spans="1:17" ht="15" customHeight="1">
      <c r="A27" s="8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2"/>
    </row>
    <row r="28" spans="1:17" ht="15" customHeight="1">
      <c r="A28" s="8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2"/>
    </row>
    <row r="29" spans="1:17" ht="15" customHeight="1">
      <c r="A29" s="8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2"/>
    </row>
    <row r="30" spans="1:17">
      <c r="A30" s="8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2"/>
    </row>
    <row r="31" spans="1:17" ht="12" customHeight="1">
      <c r="A31" s="8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2"/>
    </row>
    <row r="32" spans="1:17" ht="15" customHeight="1">
      <c r="A32" s="8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2"/>
    </row>
    <row r="33" spans="1:17" ht="15" customHeight="1">
      <c r="A33" s="8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2"/>
    </row>
    <row r="34" spans="1:17" s="114" customFormat="1" ht="15" customHeight="1">
      <c r="A34" s="65"/>
      <c r="B34" s="70"/>
      <c r="C34" s="162" t="s">
        <v>52</v>
      </c>
      <c r="K34" s="290"/>
      <c r="L34" s="291"/>
      <c r="M34" s="291"/>
      <c r="N34" s="291"/>
      <c r="O34" s="291"/>
      <c r="P34" s="292"/>
      <c r="Q34" s="71"/>
    </row>
    <row r="35" spans="1:17" s="114" customFormat="1" ht="15" customHeight="1">
      <c r="A35" s="65"/>
      <c r="B35" s="70"/>
      <c r="K35" s="293"/>
      <c r="L35" s="294"/>
      <c r="M35" s="294"/>
      <c r="N35" s="294"/>
      <c r="O35" s="294"/>
      <c r="P35" s="295"/>
      <c r="Q35" s="71"/>
    </row>
    <row r="36" spans="1:17" s="114" customFormat="1" ht="30" customHeight="1">
      <c r="A36" s="65"/>
      <c r="B36" s="70"/>
      <c r="C36" s="18"/>
      <c r="D36" s="163" t="s">
        <v>53</v>
      </c>
      <c r="E36" s="164" t="s">
        <v>54</v>
      </c>
      <c r="K36" s="293"/>
      <c r="L36" s="294"/>
      <c r="M36" s="294"/>
      <c r="N36" s="294"/>
      <c r="O36" s="294"/>
      <c r="P36" s="295"/>
      <c r="Q36" s="71"/>
    </row>
    <row r="37" spans="1:17" s="114" customFormat="1" ht="15" customHeight="1">
      <c r="A37" s="65"/>
      <c r="B37" s="70"/>
      <c r="C37" s="165" t="s">
        <v>55</v>
      </c>
      <c r="D37" s="27"/>
      <c r="E37" s="28"/>
      <c r="K37" s="293"/>
      <c r="L37" s="294"/>
      <c r="M37" s="294"/>
      <c r="N37" s="294"/>
      <c r="O37" s="294"/>
      <c r="P37" s="295"/>
      <c r="Q37" s="71"/>
    </row>
    <row r="38" spans="1:17" s="114" customFormat="1" ht="15" customHeight="1">
      <c r="A38" s="65"/>
      <c r="B38" s="70"/>
      <c r="C38" s="166" t="s">
        <v>56</v>
      </c>
      <c r="D38" s="29"/>
      <c r="E38" s="30"/>
      <c r="K38" s="293"/>
      <c r="L38" s="294"/>
      <c r="M38" s="294"/>
      <c r="N38" s="294"/>
      <c r="O38" s="294"/>
      <c r="P38" s="295"/>
      <c r="Q38" s="71"/>
    </row>
    <row r="39" spans="1:17" s="114" customFormat="1" ht="15" customHeight="1">
      <c r="A39" s="65"/>
      <c r="B39" s="70"/>
      <c r="C39" s="167" t="s">
        <v>57</v>
      </c>
      <c r="D39" s="29"/>
      <c r="E39" s="30"/>
      <c r="K39" s="293"/>
      <c r="L39" s="294"/>
      <c r="M39" s="294"/>
      <c r="N39" s="294"/>
      <c r="O39" s="294"/>
      <c r="P39" s="295"/>
      <c r="Q39" s="71"/>
    </row>
    <row r="40" spans="1:17" s="114" customFormat="1" ht="15" customHeight="1">
      <c r="A40" s="65"/>
      <c r="B40" s="70"/>
      <c r="C40" s="168" t="s">
        <v>33</v>
      </c>
      <c r="D40" s="31"/>
      <c r="E40" s="32"/>
      <c r="K40" s="293"/>
      <c r="L40" s="294"/>
      <c r="M40" s="294"/>
      <c r="N40" s="294"/>
      <c r="O40" s="294"/>
      <c r="P40" s="295"/>
      <c r="Q40" s="71"/>
    </row>
    <row r="41" spans="1:17" s="114" customFormat="1" ht="15" customHeight="1">
      <c r="A41" s="65"/>
      <c r="B41" s="70"/>
      <c r="C41" s="1"/>
      <c r="D41" s="1"/>
      <c r="E41" s="1"/>
      <c r="K41" s="293"/>
      <c r="L41" s="294"/>
      <c r="M41" s="294"/>
      <c r="N41" s="294"/>
      <c r="O41" s="294"/>
      <c r="P41" s="295"/>
      <c r="Q41" s="71"/>
    </row>
    <row r="42" spans="1:17" s="114" customFormat="1" ht="15" customHeight="1">
      <c r="A42" s="65"/>
      <c r="B42" s="70"/>
      <c r="C42" s="168" t="s">
        <v>58</v>
      </c>
      <c r="D42" s="33"/>
      <c r="E42" s="169" t="e">
        <f>D40/F16</f>
        <v>#DIV/0!</v>
      </c>
      <c r="K42" s="296"/>
      <c r="L42" s="297"/>
      <c r="M42" s="297"/>
      <c r="N42" s="297"/>
      <c r="O42" s="297"/>
      <c r="P42" s="298"/>
      <c r="Q42" s="71"/>
    </row>
    <row r="43" spans="1:17" ht="15" customHeight="1">
      <c r="A43" s="8"/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2"/>
    </row>
    <row r="44" spans="1:17" ht="15" customHeight="1">
      <c r="A44" s="8"/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2"/>
    </row>
    <row r="45" spans="1:17" ht="15" customHeight="1">
      <c r="A45" s="8"/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2"/>
    </row>
    <row r="46" spans="1:17" s="117" customFormat="1" ht="15" customHeight="1">
      <c r="B46" s="121"/>
      <c r="Q46" s="122"/>
    </row>
    <row r="47" spans="1:17" ht="15" customHeight="1">
      <c r="A47" s="8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63"/>
    </row>
    <row r="48" spans="1:17" ht="15" customHeight="1">
      <c r="A48" s="8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</sheetPr>
  <dimension ref="A1:V88"/>
  <sheetViews>
    <sheetView showGridLines="0" zoomScale="70" zoomScaleNormal="70" workbookViewId="0">
      <selection activeCell="O12" sqref="O12:Q12"/>
    </sheetView>
  </sheetViews>
  <sheetFormatPr defaultColWidth="11.42578125" defaultRowHeight="15"/>
  <cols>
    <col min="1" max="1" width="2.85546875" style="105" customWidth="1"/>
    <col min="2" max="2" width="4.28515625" style="114" customWidth="1"/>
    <col min="3" max="3" width="10" style="114" customWidth="1"/>
    <col min="4" max="4" width="50.7109375" style="114" customWidth="1"/>
    <col min="5" max="5" width="12" style="114" bestFit="1" customWidth="1"/>
    <col min="6" max="11" width="14.28515625" style="114" customWidth="1"/>
    <col min="12" max="12" width="15.7109375" style="114" customWidth="1"/>
    <col min="13" max="13" width="10.7109375" style="114" customWidth="1"/>
    <col min="14" max="14" width="1.42578125" style="114" customWidth="1"/>
    <col min="15" max="15" width="14.28515625" style="114" customWidth="1"/>
    <col min="16" max="16" width="15.7109375" style="114" customWidth="1"/>
    <col min="17" max="17" width="10.7109375" style="114" customWidth="1"/>
    <col min="18" max="18" width="4.28515625" style="114" customWidth="1"/>
    <col min="19" max="19" width="2.85546875" style="114" customWidth="1"/>
    <col min="20" max="21" width="11.42578125" style="114" customWidth="1"/>
    <col min="22" max="22" width="16.7109375" style="114" bestFit="1" customWidth="1"/>
    <col min="23" max="27" width="11.42578125" style="114" customWidth="1"/>
    <col min="28" max="16384" width="11.42578125" style="114"/>
  </cols>
  <sheetData>
    <row r="1" spans="1:22">
      <c r="A1" s="105">
        <v>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70"/>
      <c r="R3" s="71"/>
    </row>
    <row r="4" spans="1:22" ht="15" customHeight="1">
      <c r="B4" s="70"/>
      <c r="R4" s="71"/>
    </row>
    <row r="5" spans="1:22" ht="15" customHeight="1">
      <c r="B5" s="70"/>
      <c r="R5" s="71"/>
    </row>
    <row r="6" spans="1:22" ht="15" customHeight="1" thickBot="1">
      <c r="B6" s="70"/>
      <c r="R6" s="71"/>
    </row>
    <row r="7" spans="1:22" ht="15" hidden="1" customHeight="1">
      <c r="B7" s="70"/>
      <c r="R7" s="71"/>
    </row>
    <row r="8" spans="1:22" ht="60" customHeight="1" thickBot="1">
      <c r="B8" s="70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71"/>
    </row>
    <row r="9" spans="1:22">
      <c r="B9" s="70"/>
      <c r="R9" s="71"/>
    </row>
    <row r="10" spans="1:22">
      <c r="B10" s="70"/>
      <c r="R10" s="71"/>
    </row>
    <row r="11" spans="1:22">
      <c r="B11" s="70"/>
      <c r="R11" s="71"/>
    </row>
    <row r="12" spans="1:22">
      <c r="B12" s="70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71"/>
    </row>
    <row r="13" spans="1:22">
      <c r="B13" s="70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1"/>
    </row>
    <row r="14" spans="1:22" ht="45" customHeight="1">
      <c r="B14" s="70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71"/>
    </row>
    <row r="15" spans="1:22" s="190" customFormat="1" ht="15" customHeight="1" thickBot="1">
      <c r="A15" s="184"/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s="190" customFormat="1" ht="15" customHeight="1" thickBot="1">
      <c r="A16" s="184"/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1:18" s="190" customFormat="1" ht="15" customHeight="1">
      <c r="A17" s="184"/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1:18" s="190" customFormat="1" ht="15" customHeight="1">
      <c r="A18" s="184"/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1:18" s="190" customFormat="1" ht="15" customHeight="1">
      <c r="A19" s="184"/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1:18" s="190" customFormat="1" ht="15" customHeight="1">
      <c r="A20" s="184"/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1:18" s="190" customFormat="1" ht="15" customHeight="1">
      <c r="A21" s="184"/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1:18" s="190" customFormat="1" ht="15" customHeight="1" thickBot="1">
      <c r="A22" s="184"/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1:18" s="190" customFormat="1" ht="15" customHeight="1">
      <c r="A23" s="184"/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1:18" s="190" customFormat="1" ht="15" customHeight="1">
      <c r="A24" s="184"/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1:18" s="190" customFormat="1" ht="12" customHeight="1">
      <c r="A25" s="184"/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1:18" ht="15.75">
      <c r="G26" s="52"/>
      <c r="J26" s="52"/>
      <c r="K26" s="1"/>
      <c r="L26" s="1"/>
      <c r="M26" s="1"/>
      <c r="N26" s="1"/>
      <c r="O26" s="1"/>
      <c r="P26" s="18"/>
      <c r="Q26" s="18"/>
    </row>
    <row r="27" spans="1:18" ht="15.75">
      <c r="G27" s="276"/>
      <c r="H27" s="205"/>
      <c r="I27" s="1"/>
      <c r="J27" s="1"/>
      <c r="K27" s="1"/>
      <c r="L27" s="1"/>
      <c r="M27" s="1"/>
      <c r="N27" s="1"/>
      <c r="O27" s="1"/>
      <c r="P27" s="18"/>
      <c r="Q27" s="18"/>
    </row>
    <row r="28" spans="1:18">
      <c r="H28" s="1"/>
      <c r="I28" s="1"/>
      <c r="J28" s="1"/>
    </row>
    <row r="32" spans="1:18" s="190" customFormat="1">
      <c r="A32" s="184"/>
    </row>
    <row r="33" spans="1:1" s="190" customFormat="1">
      <c r="A33" s="184"/>
    </row>
    <row r="34" spans="1:1" s="190" customFormat="1">
      <c r="A34" s="184"/>
    </row>
    <row r="35" spans="1:1" s="190" customFormat="1">
      <c r="A35" s="184"/>
    </row>
    <row r="36" spans="1:1" s="190" customFormat="1">
      <c r="A36" s="184"/>
    </row>
    <row r="37" spans="1:1" s="236" customFormat="1">
      <c r="A37" s="184"/>
    </row>
    <row r="38" spans="1:1" s="236" customFormat="1">
      <c r="A38" s="184"/>
    </row>
    <row r="39" spans="1:1" s="236" customFormat="1">
      <c r="A39" s="184"/>
    </row>
    <row r="40" spans="1:1" s="236" customFormat="1">
      <c r="A40" s="184"/>
    </row>
    <row r="41" spans="1:1" s="236" customFormat="1">
      <c r="A41" s="184"/>
    </row>
    <row r="42" spans="1:1" s="236" customFormat="1">
      <c r="A42" s="184"/>
    </row>
    <row r="43" spans="1:1" s="236" customFormat="1">
      <c r="A43" s="184"/>
    </row>
    <row r="44" spans="1:1" s="236" customFormat="1">
      <c r="A44" s="184"/>
    </row>
    <row r="45" spans="1:1" s="236" customFormat="1">
      <c r="A45" s="184"/>
    </row>
    <row r="46" spans="1:1" s="236" customFormat="1">
      <c r="A46" s="184"/>
    </row>
    <row r="47" spans="1:1" s="236" customFormat="1">
      <c r="A47" s="184"/>
    </row>
    <row r="48" spans="1:1" s="236" customFormat="1">
      <c r="A48" s="184"/>
    </row>
    <row r="49" spans="1:1" s="190" customFormat="1">
      <c r="A49" s="184"/>
    </row>
    <row r="50" spans="1:1" s="190" customFormat="1">
      <c r="A50" s="184"/>
    </row>
    <row r="51" spans="1:1" s="190" customFormat="1">
      <c r="A51" s="184"/>
    </row>
    <row r="52" spans="1:1" s="190" customFormat="1">
      <c r="A52" s="184"/>
    </row>
    <row r="53" spans="1:1" s="190" customFormat="1">
      <c r="A53" s="184"/>
    </row>
    <row r="54" spans="1:1" s="190" customFormat="1">
      <c r="A54" s="184"/>
    </row>
    <row r="55" spans="1:1" s="190" customFormat="1">
      <c r="A55" s="184"/>
    </row>
    <row r="56" spans="1:1" s="190" customFormat="1">
      <c r="A56" s="184"/>
    </row>
    <row r="57" spans="1:1" s="190" customFormat="1">
      <c r="A57" s="184"/>
    </row>
    <row r="58" spans="1:1" s="190" customFormat="1">
      <c r="A58" s="184"/>
    </row>
    <row r="59" spans="1:1" s="190" customFormat="1">
      <c r="A59" s="184"/>
    </row>
    <row r="60" spans="1:1" s="190" customFormat="1">
      <c r="A60" s="184"/>
    </row>
    <row r="61" spans="1:1" s="190" customFormat="1">
      <c r="A61" s="184"/>
    </row>
    <row r="62" spans="1:1" s="190" customFormat="1">
      <c r="A62" s="184"/>
    </row>
    <row r="63" spans="1:1" s="190" customFormat="1">
      <c r="A63" s="184"/>
    </row>
    <row r="64" spans="1:1" s="190" customFormat="1">
      <c r="A64" s="184"/>
    </row>
    <row r="65" spans="1:1" s="190" customFormat="1">
      <c r="A65" s="184"/>
    </row>
    <row r="66" spans="1:1" s="190" customFormat="1">
      <c r="A66" s="184"/>
    </row>
    <row r="67" spans="1:1" s="190" customFormat="1">
      <c r="A67" s="184"/>
    </row>
    <row r="68" spans="1:1" s="190" customFormat="1">
      <c r="A68" s="184"/>
    </row>
    <row r="69" spans="1:1" s="190" customFormat="1">
      <c r="A69" s="184"/>
    </row>
    <row r="70" spans="1:1" s="190" customFormat="1">
      <c r="A70" s="184"/>
    </row>
    <row r="71" spans="1:1" s="190" customFormat="1">
      <c r="A71" s="184"/>
    </row>
    <row r="72" spans="1:1" s="190" customFormat="1">
      <c r="A72" s="184"/>
    </row>
    <row r="73" spans="1:1" s="190" customFormat="1">
      <c r="A73" s="184"/>
    </row>
    <row r="74" spans="1:1" s="190" customFormat="1">
      <c r="A74" s="184"/>
    </row>
    <row r="75" spans="1:1" s="190" customFormat="1">
      <c r="A75" s="184"/>
    </row>
    <row r="76" spans="1:1" s="190" customFormat="1">
      <c r="A76" s="184"/>
    </row>
    <row r="77" spans="1:1" s="190" customFormat="1">
      <c r="A77" s="184"/>
    </row>
    <row r="78" spans="1:1" s="190" customFormat="1">
      <c r="A78" s="184"/>
    </row>
    <row r="79" spans="1:1" s="190" customFormat="1">
      <c r="A79" s="184"/>
    </row>
    <row r="80" spans="1:1" s="190" customFormat="1">
      <c r="A80" s="184"/>
    </row>
    <row r="81" spans="1:1" s="190" customFormat="1">
      <c r="A81" s="184"/>
    </row>
    <row r="82" spans="1:1" s="190" customFormat="1">
      <c r="A82" s="184"/>
    </row>
    <row r="83" spans="1:1" s="190" customFormat="1">
      <c r="A83" s="184"/>
    </row>
    <row r="84" spans="1:1" s="190" customFormat="1">
      <c r="A84" s="184"/>
    </row>
    <row r="85" spans="1:1" s="190" customFormat="1">
      <c r="A85" s="184"/>
    </row>
    <row r="86" spans="1:1" s="190" customFormat="1">
      <c r="A86" s="184"/>
    </row>
    <row r="87" spans="1:1" s="190" customFormat="1">
      <c r="A87" s="184"/>
    </row>
    <row r="88" spans="1:1" s="190" customFormat="1">
      <c r="A88" s="184"/>
    </row>
  </sheetData>
  <mergeCells count="3">
    <mergeCell ref="O12:Q12"/>
    <mergeCell ref="E12:M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4" tint="0.79998168889431442"/>
  </sheetPr>
  <dimension ref="A1:AD76"/>
  <sheetViews>
    <sheetView showGridLines="0" topLeftCell="C9" zoomScaleNormal="100" workbookViewId="0">
      <selection activeCell="K30" sqref="K30"/>
    </sheetView>
  </sheetViews>
  <sheetFormatPr defaultColWidth="11.42578125" defaultRowHeight="15"/>
  <cols>
    <col min="1" max="1" width="2.85546875" style="65" customWidth="1"/>
    <col min="2" max="2" width="4.28515625" style="57" customWidth="1"/>
    <col min="3" max="3" width="14.28515625" style="57" customWidth="1"/>
    <col min="4" max="9" width="11.42578125" style="57" customWidth="1"/>
    <col min="10" max="11" width="18.5703125" style="57" customWidth="1"/>
    <col min="12" max="12" width="4.28515625" style="57" customWidth="1"/>
    <col min="13" max="16" width="11.42578125" style="57" customWidth="1"/>
    <col min="17" max="17" width="14.28515625" style="57" customWidth="1"/>
    <col min="18" max="18" width="21.42578125" style="57" customWidth="1"/>
    <col min="19" max="19" width="4.28515625" style="57" customWidth="1"/>
    <col min="20" max="20" width="2.85546875" style="57" customWidth="1"/>
    <col min="21" max="25" width="11.42578125" style="57" customWidth="1"/>
    <col min="26" max="16384" width="11.42578125" style="57"/>
  </cols>
  <sheetData>
    <row r="1" spans="1:30"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</row>
    <row r="2" spans="1:30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8"/>
    </row>
    <row r="3" spans="1:30">
      <c r="B3" s="70"/>
      <c r="S3" s="71"/>
    </row>
    <row r="4" spans="1:30">
      <c r="B4" s="70"/>
      <c r="H4" s="38"/>
      <c r="S4" s="71"/>
    </row>
    <row r="5" spans="1:30">
      <c r="B5" s="70"/>
      <c r="S5" s="71"/>
    </row>
    <row r="6" spans="1:30">
      <c r="B6" s="70"/>
      <c r="S6" s="71"/>
    </row>
    <row r="7" spans="1:30">
      <c r="B7" s="70"/>
      <c r="S7" s="71"/>
    </row>
    <row r="8" spans="1:30" s="114" customFormat="1" ht="60" customHeight="1">
      <c r="A8" s="65"/>
      <c r="B8" s="70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5"/>
      <c r="S8" s="71"/>
    </row>
    <row r="9" spans="1:30" ht="11.25" customHeight="1">
      <c r="B9" s="70"/>
      <c r="S9" s="71"/>
    </row>
    <row r="10" spans="1:30" ht="7.5" customHeight="1">
      <c r="B10" s="70"/>
      <c r="S10" s="71"/>
    </row>
    <row r="11" spans="1:30">
      <c r="B11" s="70"/>
      <c r="D11" s="305" t="s">
        <v>146</v>
      </c>
      <c r="E11" s="305"/>
      <c r="F11" s="305"/>
      <c r="G11" s="305"/>
      <c r="H11" s="305"/>
      <c r="I11" s="305"/>
      <c r="J11" s="305"/>
      <c r="K11" s="305"/>
      <c r="L11" s="305"/>
      <c r="M11" s="305"/>
      <c r="N11" s="305"/>
      <c r="O11" s="305"/>
      <c r="P11" s="305"/>
      <c r="Q11" s="305"/>
      <c r="S11" s="71"/>
    </row>
    <row r="12" spans="1:30">
      <c r="B12" s="70"/>
      <c r="S12" s="71"/>
      <c r="AD12" s="103"/>
    </row>
    <row r="13" spans="1:30" s="101" customFormat="1">
      <c r="A13" s="100"/>
      <c r="B13" s="70"/>
      <c r="D13" s="305" t="s">
        <v>147</v>
      </c>
      <c r="E13" s="305"/>
      <c r="F13" s="305"/>
      <c r="G13" s="305"/>
      <c r="H13" s="104"/>
      <c r="O13" s="305" t="s">
        <v>60</v>
      </c>
      <c r="P13" s="305"/>
      <c r="Q13" s="305"/>
      <c r="S13" s="71"/>
    </row>
    <row r="14" spans="1:30">
      <c r="B14" s="70"/>
      <c r="C14" s="65"/>
      <c r="D14" s="65"/>
      <c r="E14" s="105"/>
      <c r="F14" s="105"/>
      <c r="G14" s="105"/>
      <c r="H14" s="10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71"/>
    </row>
    <row r="15" spans="1:30">
      <c r="B15" s="70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71"/>
    </row>
    <row r="16" spans="1:30">
      <c r="B16" s="70"/>
      <c r="C16" s="65"/>
      <c r="D16" s="65"/>
      <c r="E16" s="65"/>
      <c r="F16" s="102"/>
      <c r="G16" s="102"/>
      <c r="H16" s="102"/>
      <c r="I16" s="102"/>
      <c r="J16" s="102"/>
      <c r="K16" s="102"/>
      <c r="L16" s="102"/>
      <c r="M16" s="102"/>
      <c r="N16" s="65"/>
      <c r="O16" s="65"/>
      <c r="P16" s="65"/>
      <c r="Q16" s="65"/>
      <c r="R16" s="65"/>
      <c r="S16" s="71"/>
    </row>
    <row r="17" spans="1:19">
      <c r="B17" s="70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71"/>
    </row>
    <row r="18" spans="1:19">
      <c r="B18" s="70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71"/>
    </row>
    <row r="19" spans="1:19">
      <c r="B19" s="70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71"/>
    </row>
    <row r="20" spans="1:19">
      <c r="B20" s="70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71"/>
    </row>
    <row r="21" spans="1:19">
      <c r="B21" s="70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71"/>
    </row>
    <row r="22" spans="1:19">
      <c r="B22" s="70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71"/>
    </row>
    <row r="23" spans="1:19">
      <c r="B23" s="70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71"/>
    </row>
    <row r="24" spans="1:19">
      <c r="B24" s="70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71"/>
    </row>
    <row r="25" spans="1:19">
      <c r="B25" s="70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71"/>
    </row>
    <row r="26" spans="1:19">
      <c r="B26" s="70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71"/>
    </row>
    <row r="27" spans="1:19">
      <c r="B27" s="70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71"/>
    </row>
    <row r="28" spans="1:19">
      <c r="B28" s="70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71"/>
    </row>
    <row r="29" spans="1:19" s="101" customFormat="1">
      <c r="A29" s="100"/>
      <c r="B29" s="7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71"/>
    </row>
    <row r="30" spans="1:19">
      <c r="B30" s="70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71"/>
    </row>
    <row r="31" spans="1:19" s="101" customFormat="1">
      <c r="A31" s="100"/>
      <c r="B31" s="70"/>
      <c r="C31" s="100"/>
      <c r="D31" s="306" t="s">
        <v>148</v>
      </c>
      <c r="E31" s="306"/>
      <c r="F31" s="306"/>
      <c r="G31" s="306"/>
      <c r="H31" s="100"/>
      <c r="I31" s="100"/>
      <c r="L31" s="100"/>
      <c r="M31" s="100"/>
      <c r="O31" s="179" t="s">
        <v>149</v>
      </c>
      <c r="P31" s="106"/>
      <c r="Q31" s="106"/>
      <c r="R31" s="100"/>
      <c r="S31" s="71"/>
    </row>
    <row r="32" spans="1:19" s="177" customFormat="1" ht="24">
      <c r="B32" s="121"/>
      <c r="J32" s="178" t="s">
        <v>150</v>
      </c>
      <c r="K32" s="178" t="s">
        <v>151</v>
      </c>
      <c r="S32" s="122"/>
    </row>
    <row r="33" spans="2:19">
      <c r="B33" s="70"/>
      <c r="H33" s="104"/>
      <c r="K33" s="111"/>
      <c r="S33" s="71"/>
    </row>
    <row r="34" spans="2:19">
      <c r="B34" s="70"/>
      <c r="C34" s="65"/>
      <c r="D34" s="65"/>
      <c r="E34" s="65">
        <v>0</v>
      </c>
      <c r="F34" s="65"/>
      <c r="G34" s="65"/>
      <c r="H34" s="65"/>
      <c r="I34" s="65"/>
      <c r="J34" s="107">
        <v>0.93662953150268868</v>
      </c>
      <c r="K34" s="108">
        <v>0.91697345806829977</v>
      </c>
      <c r="L34" s="65"/>
      <c r="M34" s="65"/>
      <c r="N34" s="65"/>
      <c r="O34" s="65"/>
      <c r="P34" s="65"/>
      <c r="Q34" s="65"/>
      <c r="R34" s="65"/>
      <c r="S34" s="71"/>
    </row>
    <row r="35" spans="2:19">
      <c r="B35" s="70"/>
      <c r="C35" s="65"/>
      <c r="D35" s="65"/>
      <c r="E35" s="65"/>
      <c r="F35" s="65"/>
      <c r="G35" s="65"/>
      <c r="H35" s="65"/>
      <c r="I35" s="65"/>
      <c r="J35" s="107">
        <v>0.94976816074188564</v>
      </c>
      <c r="K35" s="108">
        <v>0.88283888547743317</v>
      </c>
      <c r="L35" s="65"/>
      <c r="M35" s="65"/>
      <c r="N35" s="65"/>
      <c r="O35" s="65"/>
      <c r="P35" s="65"/>
      <c r="Q35" s="65"/>
      <c r="R35" s="65"/>
      <c r="S35" s="71"/>
    </row>
    <row r="36" spans="2:19">
      <c r="B36" s="70"/>
      <c r="C36" s="65"/>
      <c r="D36" s="65"/>
      <c r="E36" s="65"/>
      <c r="F36" s="65"/>
      <c r="G36" s="65"/>
      <c r="H36" s="65"/>
      <c r="I36" s="65"/>
      <c r="J36" s="107">
        <v>0.99842361869116225</v>
      </c>
      <c r="K36" s="108">
        <v>0.99825220026253936</v>
      </c>
      <c r="L36" s="65"/>
      <c r="M36" s="65"/>
      <c r="N36" s="65"/>
      <c r="O36" s="65"/>
      <c r="P36" s="65"/>
      <c r="Q36" s="65"/>
      <c r="R36" s="65"/>
      <c r="S36" s="71"/>
    </row>
    <row r="37" spans="2:19">
      <c r="B37" s="70"/>
      <c r="C37" s="65"/>
      <c r="D37" s="65"/>
      <c r="E37" s="65"/>
      <c r="F37" s="65"/>
      <c r="G37" s="65"/>
      <c r="H37" s="65"/>
      <c r="I37" s="65"/>
      <c r="J37" s="107">
        <v>0.77121872881286513</v>
      </c>
      <c r="K37" s="108">
        <v>0.73580463802568441</v>
      </c>
      <c r="L37" s="65"/>
      <c r="M37" s="65"/>
      <c r="N37" s="65"/>
      <c r="O37" s="65"/>
      <c r="P37" s="65"/>
      <c r="Q37" s="65"/>
      <c r="R37" s="65"/>
      <c r="S37" s="71"/>
    </row>
    <row r="38" spans="2:19">
      <c r="B38" s="70"/>
      <c r="C38" s="65"/>
      <c r="D38" s="65"/>
      <c r="E38" s="65"/>
      <c r="F38" s="65"/>
      <c r="G38" s="65"/>
      <c r="H38" s="65"/>
      <c r="I38" s="65"/>
      <c r="J38" s="107">
        <v>0.87432430037396092</v>
      </c>
      <c r="K38" s="108">
        <v>0.92660844341903059</v>
      </c>
      <c r="L38" s="65"/>
      <c r="M38" s="65"/>
      <c r="N38" s="65"/>
      <c r="O38" s="65"/>
      <c r="P38" s="65"/>
      <c r="Q38" s="65"/>
      <c r="R38" s="65"/>
      <c r="S38" s="71"/>
    </row>
    <row r="39" spans="2:19">
      <c r="B39" s="70"/>
      <c r="C39" s="65"/>
      <c r="D39" s="65"/>
      <c r="E39" s="65"/>
      <c r="F39" s="65"/>
      <c r="G39" s="65"/>
      <c r="H39" s="65"/>
      <c r="I39" s="65"/>
      <c r="J39" s="107">
        <v>0.95066014464661841</v>
      </c>
      <c r="K39" s="108">
        <v>0.94900137250761896</v>
      </c>
      <c r="L39" s="65"/>
      <c r="M39" s="65"/>
      <c r="N39" s="65"/>
      <c r="O39" s="65"/>
      <c r="P39" s="65"/>
      <c r="Q39" s="65"/>
      <c r="R39" s="65"/>
      <c r="S39" s="71"/>
    </row>
    <row r="40" spans="2:19">
      <c r="B40" s="70"/>
      <c r="C40" s="65"/>
      <c r="D40" s="65"/>
      <c r="E40" s="65"/>
      <c r="F40" s="65"/>
      <c r="G40" s="65"/>
      <c r="H40" s="65"/>
      <c r="I40" s="65"/>
      <c r="J40" s="107">
        <v>0.92002167417753811</v>
      </c>
      <c r="K40" s="108">
        <v>0.89600591576714606</v>
      </c>
      <c r="L40" s="65"/>
      <c r="M40" s="65"/>
      <c r="N40" s="65"/>
      <c r="O40" s="65"/>
      <c r="P40" s="65"/>
      <c r="Q40" s="65"/>
      <c r="R40" s="65"/>
      <c r="S40" s="71"/>
    </row>
    <row r="41" spans="2:19">
      <c r="B41" s="70"/>
      <c r="C41" s="65"/>
      <c r="D41" s="65"/>
      <c r="E41" s="65"/>
      <c r="F41" s="65"/>
      <c r="G41" s="65"/>
      <c r="H41" s="65"/>
      <c r="I41" s="65"/>
      <c r="J41" s="107">
        <v>0.73258680709726398</v>
      </c>
      <c r="K41" s="108">
        <v>0.76099118722119896</v>
      </c>
      <c r="L41" s="65"/>
      <c r="M41" s="65"/>
      <c r="N41" s="65"/>
      <c r="O41" s="65"/>
      <c r="P41" s="65"/>
      <c r="Q41" s="65"/>
      <c r="R41" s="65"/>
      <c r="S41" s="71"/>
    </row>
    <row r="42" spans="2:19">
      <c r="B42" s="70"/>
      <c r="C42" s="65"/>
      <c r="D42" s="65"/>
      <c r="E42" s="65"/>
      <c r="F42" s="65"/>
      <c r="G42" s="65"/>
      <c r="H42" s="65"/>
      <c r="I42" s="65"/>
      <c r="J42" s="107">
        <v>0.64242424242424245</v>
      </c>
      <c r="K42" s="108">
        <v>0.62398769977502344</v>
      </c>
      <c r="L42" s="65"/>
      <c r="M42" s="65"/>
      <c r="N42" s="65"/>
      <c r="O42" s="65"/>
      <c r="P42" s="65"/>
      <c r="Q42" s="65"/>
      <c r="R42" s="65"/>
      <c r="S42" s="71"/>
    </row>
    <row r="43" spans="2:19">
      <c r="B43" s="70"/>
      <c r="C43" s="65"/>
      <c r="D43" s="65"/>
      <c r="E43" s="65"/>
      <c r="F43" s="65"/>
      <c r="G43" s="65"/>
      <c r="H43" s="65"/>
      <c r="I43" s="65"/>
      <c r="J43" s="107">
        <v>0.68208287984520255</v>
      </c>
      <c r="K43" s="108">
        <v>0.68119510850161025</v>
      </c>
      <c r="L43" s="65"/>
      <c r="M43" s="65"/>
      <c r="N43" s="65"/>
      <c r="O43" s="65"/>
      <c r="P43" s="65"/>
      <c r="Q43" s="65"/>
      <c r="R43" s="65"/>
      <c r="S43" s="71"/>
    </row>
    <row r="44" spans="2:19">
      <c r="B44" s="70"/>
      <c r="C44" s="65"/>
      <c r="D44" s="65"/>
      <c r="E44" s="65"/>
      <c r="F44" s="65"/>
      <c r="G44" s="65"/>
      <c r="H44" s="65"/>
      <c r="I44" s="65"/>
      <c r="J44" s="107"/>
      <c r="K44" s="108"/>
      <c r="L44" s="65"/>
      <c r="M44" s="65"/>
      <c r="N44" s="65"/>
      <c r="O44" s="65"/>
      <c r="P44" s="65"/>
      <c r="Q44" s="65"/>
      <c r="R44" s="65"/>
      <c r="S44" s="71"/>
    </row>
    <row r="45" spans="2:19">
      <c r="B45" s="70"/>
      <c r="C45" s="65"/>
      <c r="D45" s="65"/>
      <c r="E45" s="65"/>
      <c r="F45" s="65"/>
      <c r="G45" s="65"/>
      <c r="H45" s="65"/>
      <c r="I45" s="65"/>
      <c r="J45" s="107"/>
      <c r="K45" s="108"/>
      <c r="L45" s="65"/>
      <c r="M45" s="65"/>
      <c r="N45" s="65"/>
      <c r="O45" s="65"/>
      <c r="P45" s="65"/>
      <c r="Q45" s="65"/>
      <c r="R45" s="65"/>
      <c r="S45" s="71"/>
    </row>
    <row r="46" spans="2:19">
      <c r="B46" s="70"/>
      <c r="C46" s="65"/>
      <c r="D46" s="65"/>
      <c r="E46" s="65"/>
      <c r="F46" s="65"/>
      <c r="G46" s="65"/>
      <c r="H46" s="65"/>
      <c r="I46" s="65"/>
      <c r="J46" s="107"/>
      <c r="K46" s="108"/>
      <c r="L46" s="65"/>
      <c r="M46" s="65"/>
      <c r="N46" s="65"/>
      <c r="O46" s="65"/>
      <c r="P46" s="65"/>
      <c r="Q46" s="65"/>
      <c r="R46" s="65"/>
      <c r="S46" s="71"/>
    </row>
    <row r="47" spans="2:19">
      <c r="B47" s="70"/>
      <c r="C47" s="65"/>
      <c r="D47" s="65"/>
      <c r="E47" s="65"/>
      <c r="F47" s="65"/>
      <c r="G47" s="65"/>
      <c r="H47" s="65"/>
      <c r="I47" s="65"/>
      <c r="J47" s="107"/>
      <c r="K47" s="108"/>
      <c r="L47" s="65"/>
      <c r="M47" s="65"/>
      <c r="N47" s="65"/>
      <c r="O47" s="65"/>
      <c r="P47" s="65"/>
      <c r="Q47" s="65"/>
      <c r="R47" s="65"/>
      <c r="S47" s="71"/>
    </row>
    <row r="48" spans="2:19">
      <c r="B48" s="70"/>
      <c r="C48" s="65"/>
      <c r="D48" s="65"/>
      <c r="E48" s="65"/>
      <c r="F48" s="65"/>
      <c r="G48" s="65"/>
      <c r="H48" s="65"/>
      <c r="I48" s="65"/>
      <c r="J48" s="107"/>
      <c r="K48" s="108"/>
      <c r="L48" s="65"/>
      <c r="M48" s="65"/>
      <c r="N48" s="65"/>
      <c r="O48" s="65"/>
      <c r="P48" s="65"/>
      <c r="Q48" s="65"/>
      <c r="R48" s="65"/>
      <c r="S48" s="71"/>
    </row>
    <row r="49" spans="2:19">
      <c r="B49" s="70"/>
      <c r="C49" s="65"/>
      <c r="D49" s="65"/>
      <c r="E49" s="65"/>
      <c r="F49" s="65"/>
      <c r="G49" s="65"/>
      <c r="H49" s="65"/>
      <c r="I49" s="65"/>
      <c r="J49" s="112"/>
      <c r="K49" s="110"/>
      <c r="L49" s="65"/>
      <c r="M49" s="65"/>
      <c r="N49" s="65"/>
      <c r="O49" s="65"/>
      <c r="P49" s="65"/>
      <c r="Q49" s="65"/>
      <c r="R49" s="65"/>
      <c r="S49" s="71"/>
    </row>
    <row r="50" spans="2:19">
      <c r="B50" s="70"/>
      <c r="J50" s="111"/>
      <c r="K50" s="111"/>
      <c r="S50" s="71"/>
    </row>
    <row r="51" spans="2:19">
      <c r="B51" s="94"/>
      <c r="C51" s="95"/>
      <c r="D51" s="95"/>
      <c r="E51" s="95"/>
      <c r="F51" s="95"/>
      <c r="G51" s="95"/>
      <c r="H51" s="95"/>
      <c r="I51" s="95"/>
      <c r="J51" s="113"/>
      <c r="K51" s="115"/>
      <c r="L51" s="95"/>
      <c r="M51" s="95"/>
      <c r="N51" s="95"/>
      <c r="O51" s="95"/>
      <c r="P51" s="95"/>
      <c r="Q51" s="95"/>
      <c r="R51" s="95"/>
      <c r="S51" s="96"/>
    </row>
    <row r="66" spans="5:14">
      <c r="E66" s="245"/>
      <c r="F66" s="246" t="s">
        <v>152</v>
      </c>
      <c r="G66" s="246" t="s">
        <v>153</v>
      </c>
      <c r="H66" s="246" t="s">
        <v>66</v>
      </c>
      <c r="I66" s="246" t="s">
        <v>64</v>
      </c>
      <c r="J66" s="246" t="s">
        <v>154</v>
      </c>
      <c r="K66" s="246" t="s">
        <v>66</v>
      </c>
      <c r="L66" s="246" t="s">
        <v>155</v>
      </c>
      <c r="M66" s="246" t="s">
        <v>152</v>
      </c>
      <c r="N66" s="246" t="s">
        <v>153</v>
      </c>
    </row>
    <row r="67" spans="5:14">
      <c r="E67" s="245"/>
      <c r="F67" s="245"/>
      <c r="G67" s="245"/>
      <c r="H67" s="245"/>
      <c r="I67" s="245"/>
      <c r="J67" s="245"/>
      <c r="K67" s="245"/>
      <c r="L67" s="245"/>
      <c r="M67" s="245"/>
      <c r="N67" s="245"/>
    </row>
    <row r="68" spans="5:14">
      <c r="E68" s="245"/>
      <c r="F68" s="245"/>
      <c r="G68" s="245"/>
      <c r="H68" s="245"/>
      <c r="I68" s="245"/>
      <c r="J68" s="245"/>
      <c r="K68" s="245"/>
      <c r="L68" s="245"/>
      <c r="M68" s="245"/>
      <c r="N68" s="245"/>
    </row>
    <row r="69" spans="5:14">
      <c r="E69" s="245"/>
      <c r="F69" s="245"/>
      <c r="G69" s="245"/>
      <c r="H69" s="245"/>
      <c r="I69" s="245"/>
      <c r="J69" s="245"/>
      <c r="K69" s="245"/>
      <c r="L69" s="245"/>
      <c r="M69" s="245"/>
      <c r="N69" s="245"/>
    </row>
    <row r="70" spans="5:14">
      <c r="E70" s="245"/>
      <c r="F70" s="245"/>
      <c r="G70" s="245"/>
      <c r="H70" s="245"/>
      <c r="I70" s="245"/>
      <c r="J70" s="245"/>
      <c r="K70" s="245"/>
      <c r="L70" s="245"/>
      <c r="M70" s="245"/>
      <c r="N70" s="245"/>
    </row>
    <row r="71" spans="5:14">
      <c r="E71" s="245"/>
      <c r="F71" s="245"/>
      <c r="G71" s="245"/>
      <c r="H71" s="245"/>
      <c r="I71" s="245"/>
      <c r="J71" s="245"/>
      <c r="K71" s="245"/>
      <c r="L71" s="245"/>
      <c r="M71" s="245"/>
      <c r="N71" s="245"/>
    </row>
    <row r="72" spans="5:14">
      <c r="E72" s="245"/>
      <c r="F72" s="245"/>
      <c r="G72" s="245"/>
      <c r="H72" s="245"/>
      <c r="I72" s="245"/>
      <c r="J72" s="245"/>
      <c r="K72" s="245"/>
      <c r="L72" s="245"/>
      <c r="M72" s="245"/>
      <c r="N72" s="245"/>
    </row>
    <row r="73" spans="5:14">
      <c r="E73" s="245"/>
      <c r="F73" s="245"/>
      <c r="G73" s="245"/>
      <c r="H73" s="245"/>
      <c r="I73" s="245"/>
      <c r="J73" s="245"/>
      <c r="K73" s="245"/>
      <c r="L73" s="245"/>
      <c r="M73" s="245"/>
      <c r="N73" s="245"/>
    </row>
    <row r="74" spans="5:14">
      <c r="E74" s="245"/>
      <c r="F74" s="245"/>
      <c r="G74" s="245"/>
      <c r="H74" s="245"/>
      <c r="I74" s="245"/>
      <c r="J74" s="245"/>
      <c r="K74" s="245"/>
      <c r="L74" s="245"/>
      <c r="M74" s="245"/>
      <c r="N74" s="245"/>
    </row>
    <row r="75" spans="5:14">
      <c r="E75" s="245"/>
      <c r="F75" s="245"/>
      <c r="G75" s="245"/>
      <c r="H75" s="245"/>
      <c r="I75" s="245"/>
      <c r="J75" s="245"/>
      <c r="K75" s="245"/>
      <c r="L75" s="245"/>
      <c r="M75" s="245"/>
      <c r="N75" s="245"/>
    </row>
    <row r="76" spans="5:14">
      <c r="E76" s="245"/>
      <c r="F76" s="245"/>
      <c r="G76" s="245"/>
      <c r="H76" s="245"/>
      <c r="I76" s="245"/>
      <c r="J76" s="245"/>
      <c r="K76" s="245"/>
      <c r="L76" s="245"/>
      <c r="M76" s="245"/>
      <c r="N76" s="245"/>
    </row>
  </sheetData>
  <mergeCells count="5">
    <mergeCell ref="D11:Q11"/>
    <mergeCell ref="D13:G13"/>
    <mergeCell ref="O13:Q13"/>
    <mergeCell ref="D31:G31"/>
    <mergeCell ref="C8:R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11" width="14.28515625" style="236" customWidth="1"/>
    <col min="12" max="12" width="15.7109375" style="236" customWidth="1"/>
    <col min="13" max="13" width="10.7109375" style="236" customWidth="1"/>
    <col min="14" max="14" width="1.42578125" style="236" customWidth="1"/>
    <col min="15" max="15" width="14.28515625" style="236" customWidth="1"/>
    <col min="16" max="16" width="15.710937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/>
    <col min="22" max="22" width="16.7109375" style="236" bestFit="1" customWidth="1"/>
    <col min="23" max="16384" width="11.42578125" style="236"/>
  </cols>
  <sheetData>
    <row r="1" spans="1:22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185"/>
      <c r="R3" s="189"/>
    </row>
    <row r="4" spans="1:22" ht="15" customHeight="1">
      <c r="B4" s="185"/>
      <c r="R4" s="189"/>
    </row>
    <row r="5" spans="1:22" ht="15" customHeight="1">
      <c r="B5" s="185"/>
      <c r="R5" s="189"/>
    </row>
    <row r="6" spans="1:22" ht="15" customHeight="1" thickBot="1">
      <c r="B6" s="185"/>
      <c r="R6" s="189"/>
    </row>
    <row r="7" spans="1:22" ht="15" hidden="1" customHeight="1">
      <c r="B7" s="185"/>
      <c r="R7" s="189"/>
    </row>
    <row r="8" spans="1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1:22">
      <c r="B9" s="185"/>
      <c r="R9" s="189"/>
    </row>
    <row r="10" spans="1:22">
      <c r="B10" s="185"/>
      <c r="R10" s="189"/>
    </row>
    <row r="11" spans="1:22" ht="15.75" thickBot="1">
      <c r="B11" s="185"/>
      <c r="R11" s="189"/>
    </row>
    <row r="12" spans="1:22" ht="15.75" thickBot="1">
      <c r="B12" s="185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1:22" ht="15.75" thickBot="1">
      <c r="B13" s="185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89"/>
    </row>
    <row r="14" spans="1:22" ht="45" customHeight="1" thickBot="1">
      <c r="B14" s="185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189"/>
    </row>
    <row r="15" spans="1:22" ht="15" customHeight="1" thickBot="1"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ht="15" customHeight="1" thickBot="1"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276"/>
      <c r="H27" s="205"/>
      <c r="I27" s="193"/>
      <c r="J27" s="193"/>
      <c r="K27" s="193"/>
      <c r="L27" s="193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11" width="14.28515625" style="236" customWidth="1"/>
    <col min="12" max="12" width="15.7109375" style="236" customWidth="1"/>
    <col min="13" max="13" width="10.7109375" style="236" customWidth="1"/>
    <col min="14" max="14" width="1.42578125" style="236" customWidth="1"/>
    <col min="15" max="15" width="14.28515625" style="236" customWidth="1"/>
    <col min="16" max="16" width="15.710937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/>
    <col min="22" max="22" width="16.7109375" style="236" bestFit="1" customWidth="1"/>
    <col min="23" max="16384" width="11.42578125" style="236"/>
  </cols>
  <sheetData>
    <row r="1" spans="1:22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185"/>
      <c r="R3" s="189"/>
    </row>
    <row r="4" spans="1:22" ht="15" customHeight="1">
      <c r="B4" s="185"/>
      <c r="R4" s="189"/>
    </row>
    <row r="5" spans="1:22" ht="15" customHeight="1">
      <c r="B5" s="185"/>
      <c r="R5" s="189"/>
    </row>
    <row r="6" spans="1:22" ht="15" customHeight="1" thickBot="1">
      <c r="B6" s="185"/>
      <c r="R6" s="189"/>
    </row>
    <row r="7" spans="1:22" ht="15" hidden="1" customHeight="1">
      <c r="B7" s="185"/>
      <c r="R7" s="189"/>
    </row>
    <row r="8" spans="1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1:22">
      <c r="B9" s="185"/>
      <c r="R9" s="189"/>
    </row>
    <row r="10" spans="1:22">
      <c r="B10" s="185"/>
      <c r="R10" s="189"/>
    </row>
    <row r="11" spans="1:22" ht="15.75" thickBot="1">
      <c r="B11" s="185"/>
      <c r="R11" s="189"/>
    </row>
    <row r="12" spans="1:22" ht="15.75" thickBot="1">
      <c r="B12" s="185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1:22" ht="15.75" thickBot="1">
      <c r="B13" s="185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89"/>
    </row>
    <row r="14" spans="1:22" ht="45" customHeight="1" thickBot="1">
      <c r="B14" s="185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189"/>
    </row>
    <row r="15" spans="1:22" ht="15" customHeight="1" thickBot="1"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ht="15" customHeight="1" thickBot="1"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276"/>
      <c r="H27" s="205"/>
      <c r="I27" s="193"/>
      <c r="J27" s="193"/>
      <c r="K27" s="193"/>
      <c r="L27" s="193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11" width="14.28515625" style="236" customWidth="1"/>
    <col min="12" max="12" width="15.7109375" style="236" customWidth="1"/>
    <col min="13" max="13" width="10.7109375" style="236" customWidth="1"/>
    <col min="14" max="14" width="1.42578125" style="236" customWidth="1"/>
    <col min="15" max="15" width="14.28515625" style="236" customWidth="1"/>
    <col min="16" max="16" width="15.710937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/>
    <col min="22" max="22" width="16.7109375" style="236" bestFit="1" customWidth="1"/>
    <col min="23" max="16384" width="11.42578125" style="236"/>
  </cols>
  <sheetData>
    <row r="1" spans="1:22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185"/>
      <c r="R3" s="189"/>
    </row>
    <row r="4" spans="1:22" ht="15" customHeight="1">
      <c r="B4" s="185"/>
      <c r="R4" s="189"/>
    </row>
    <row r="5" spans="1:22" ht="15" customHeight="1">
      <c r="B5" s="185"/>
      <c r="R5" s="189"/>
    </row>
    <row r="6" spans="1:22" ht="15" customHeight="1" thickBot="1">
      <c r="B6" s="185"/>
      <c r="R6" s="189"/>
    </row>
    <row r="7" spans="1:22" ht="15" hidden="1" customHeight="1">
      <c r="B7" s="185"/>
      <c r="R7" s="189"/>
    </row>
    <row r="8" spans="1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1:22">
      <c r="B9" s="185"/>
      <c r="R9" s="189"/>
    </row>
    <row r="10" spans="1:22">
      <c r="B10" s="185"/>
      <c r="R10" s="189"/>
    </row>
    <row r="11" spans="1:22" ht="15.75" thickBot="1">
      <c r="B11" s="185"/>
      <c r="R11" s="189"/>
    </row>
    <row r="12" spans="1:22" ht="15.75" thickBot="1">
      <c r="B12" s="185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1:22" ht="15.75" thickBot="1">
      <c r="B13" s="185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89"/>
    </row>
    <row r="14" spans="1:22" ht="45" customHeight="1" thickBot="1">
      <c r="B14" s="185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189"/>
    </row>
    <row r="15" spans="1:22" ht="15" customHeight="1" thickBot="1"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ht="15" customHeight="1" thickBot="1"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276"/>
      <c r="H27" s="205"/>
      <c r="I27" s="193"/>
      <c r="J27" s="193"/>
      <c r="K27" s="193"/>
      <c r="L27" s="193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11" width="14.28515625" style="236" customWidth="1"/>
    <col min="12" max="12" width="15.7109375" style="236" customWidth="1"/>
    <col min="13" max="13" width="10.7109375" style="236" customWidth="1"/>
    <col min="14" max="14" width="1.42578125" style="236" customWidth="1"/>
    <col min="15" max="15" width="14.28515625" style="236" customWidth="1"/>
    <col min="16" max="16" width="15.710937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/>
    <col min="22" max="22" width="16.7109375" style="236" bestFit="1" customWidth="1"/>
    <col min="23" max="16384" width="11.42578125" style="236"/>
  </cols>
  <sheetData>
    <row r="1" spans="1:22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185"/>
      <c r="R3" s="189"/>
    </row>
    <row r="4" spans="1:22" ht="15" customHeight="1">
      <c r="B4" s="185"/>
      <c r="R4" s="189"/>
    </row>
    <row r="5" spans="1:22" ht="15" customHeight="1">
      <c r="B5" s="185"/>
      <c r="R5" s="189"/>
    </row>
    <row r="6" spans="1:22" ht="15" customHeight="1" thickBot="1">
      <c r="B6" s="185"/>
      <c r="R6" s="189"/>
    </row>
    <row r="7" spans="1:22" ht="15" hidden="1" customHeight="1">
      <c r="B7" s="185"/>
      <c r="R7" s="189"/>
    </row>
    <row r="8" spans="1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1:22">
      <c r="B9" s="185"/>
      <c r="R9" s="189"/>
    </row>
    <row r="10" spans="1:22">
      <c r="B10" s="185"/>
      <c r="R10" s="189"/>
    </row>
    <row r="11" spans="1:22" ht="15.75" thickBot="1">
      <c r="B11" s="185"/>
      <c r="R11" s="189"/>
    </row>
    <row r="12" spans="1:22" ht="15.75" thickBot="1">
      <c r="B12" s="185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1:22" ht="15.75" thickBot="1">
      <c r="B13" s="185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89"/>
    </row>
    <row r="14" spans="1:22" ht="45" customHeight="1" thickBot="1">
      <c r="B14" s="185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189"/>
    </row>
    <row r="15" spans="1:22" ht="15" customHeight="1" thickBot="1"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ht="15" customHeight="1" thickBot="1"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276"/>
      <c r="H27" s="205"/>
      <c r="I27" s="193"/>
      <c r="J27" s="193"/>
      <c r="K27" s="193"/>
      <c r="L27" s="193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11" width="14.28515625" style="236" customWidth="1"/>
    <col min="12" max="12" width="15.7109375" style="236" customWidth="1"/>
    <col min="13" max="13" width="10.7109375" style="236" customWidth="1"/>
    <col min="14" max="14" width="1.42578125" style="236" customWidth="1"/>
    <col min="15" max="15" width="14.28515625" style="236" customWidth="1"/>
    <col min="16" max="16" width="15.710937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/>
    <col min="22" max="22" width="16.7109375" style="236" bestFit="1" customWidth="1"/>
    <col min="23" max="16384" width="11.42578125" style="236"/>
  </cols>
  <sheetData>
    <row r="1" spans="1:22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185"/>
      <c r="R3" s="189"/>
    </row>
    <row r="4" spans="1:22" ht="15" customHeight="1">
      <c r="B4" s="185"/>
      <c r="R4" s="189"/>
    </row>
    <row r="5" spans="1:22" ht="15" customHeight="1">
      <c r="B5" s="185"/>
      <c r="R5" s="189"/>
    </row>
    <row r="6" spans="1:22" ht="15" customHeight="1" thickBot="1">
      <c r="B6" s="185"/>
      <c r="R6" s="189"/>
    </row>
    <row r="7" spans="1:22" ht="15" hidden="1" customHeight="1">
      <c r="B7" s="185"/>
      <c r="R7" s="189"/>
    </row>
    <row r="8" spans="1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1:22">
      <c r="B9" s="185"/>
      <c r="R9" s="189"/>
    </row>
    <row r="10" spans="1:22">
      <c r="B10" s="185"/>
      <c r="R10" s="189"/>
    </row>
    <row r="11" spans="1:22" ht="15.75" thickBot="1">
      <c r="B11" s="185"/>
      <c r="R11" s="189"/>
    </row>
    <row r="12" spans="1:22" ht="15.75" thickBot="1">
      <c r="B12" s="185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1:22" ht="15.75" thickBot="1">
      <c r="B13" s="185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89"/>
    </row>
    <row r="14" spans="1:22" ht="45" customHeight="1" thickBot="1">
      <c r="B14" s="185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189"/>
    </row>
    <row r="15" spans="1:22" ht="15" customHeight="1" thickBot="1"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ht="15" customHeight="1" thickBot="1"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276"/>
      <c r="H27" s="205"/>
      <c r="I27" s="193"/>
      <c r="J27" s="193"/>
      <c r="K27" s="193"/>
      <c r="L27" s="193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11" width="14.28515625" style="236" customWidth="1"/>
    <col min="12" max="12" width="15.7109375" style="236" customWidth="1"/>
    <col min="13" max="13" width="10.7109375" style="236" customWidth="1"/>
    <col min="14" max="14" width="1.42578125" style="236" customWidth="1"/>
    <col min="15" max="15" width="14.28515625" style="236" customWidth="1"/>
    <col min="16" max="16" width="15.710937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/>
    <col min="22" max="22" width="16.7109375" style="236" bestFit="1" customWidth="1"/>
    <col min="23" max="16384" width="11.42578125" style="236"/>
  </cols>
  <sheetData>
    <row r="1" spans="1:22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185"/>
      <c r="R3" s="189"/>
    </row>
    <row r="4" spans="1:22" ht="15" customHeight="1">
      <c r="B4" s="185"/>
      <c r="R4" s="189"/>
    </row>
    <row r="5" spans="1:22" ht="15" customHeight="1">
      <c r="B5" s="185"/>
      <c r="R5" s="189"/>
    </row>
    <row r="6" spans="1:22" ht="15" customHeight="1" thickBot="1">
      <c r="B6" s="185"/>
      <c r="R6" s="189"/>
    </row>
    <row r="7" spans="1:22" ht="15" hidden="1" customHeight="1">
      <c r="B7" s="185"/>
      <c r="R7" s="189"/>
    </row>
    <row r="8" spans="1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1:22">
      <c r="B9" s="185"/>
      <c r="R9" s="189"/>
    </row>
    <row r="10" spans="1:22">
      <c r="B10" s="185"/>
      <c r="R10" s="189"/>
    </row>
    <row r="11" spans="1:22" ht="15.75" thickBot="1">
      <c r="B11" s="185"/>
      <c r="R11" s="189"/>
    </row>
    <row r="12" spans="1:22" ht="15.75" thickBot="1">
      <c r="B12" s="185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1:22" ht="15.75" thickBot="1">
      <c r="B13" s="185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89"/>
    </row>
    <row r="14" spans="1:22" ht="45" customHeight="1" thickBot="1">
      <c r="B14" s="185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189"/>
    </row>
    <row r="15" spans="1:22" ht="15" customHeight="1" thickBot="1"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ht="15" customHeight="1" thickBot="1"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276"/>
      <c r="H27" s="205"/>
      <c r="I27" s="193"/>
      <c r="J27" s="193"/>
      <c r="K27" s="193"/>
      <c r="L27" s="193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11" width="14.28515625" style="236" customWidth="1"/>
    <col min="12" max="12" width="15.7109375" style="236" customWidth="1"/>
    <col min="13" max="13" width="10.7109375" style="236" customWidth="1"/>
    <col min="14" max="14" width="1.42578125" style="236" customWidth="1"/>
    <col min="15" max="15" width="14.28515625" style="236" customWidth="1"/>
    <col min="16" max="16" width="15.710937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/>
    <col min="22" max="22" width="16.7109375" style="236" bestFit="1" customWidth="1"/>
    <col min="23" max="16384" width="11.42578125" style="236"/>
  </cols>
  <sheetData>
    <row r="1" spans="1:22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185"/>
      <c r="R3" s="189"/>
    </row>
    <row r="4" spans="1:22" ht="15" customHeight="1">
      <c r="B4" s="185"/>
      <c r="R4" s="189"/>
    </row>
    <row r="5" spans="1:22" ht="15" customHeight="1">
      <c r="B5" s="185"/>
      <c r="R5" s="189"/>
    </row>
    <row r="6" spans="1:22" ht="15" customHeight="1" thickBot="1">
      <c r="B6" s="185"/>
      <c r="R6" s="189"/>
    </row>
    <row r="7" spans="1:22" ht="15" hidden="1" customHeight="1">
      <c r="B7" s="185"/>
      <c r="R7" s="189"/>
    </row>
    <row r="8" spans="1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1:22">
      <c r="B9" s="185"/>
      <c r="R9" s="189"/>
    </row>
    <row r="10" spans="1:22">
      <c r="B10" s="185"/>
      <c r="R10" s="189"/>
    </row>
    <row r="11" spans="1:22" ht="15.75" thickBot="1">
      <c r="B11" s="185"/>
      <c r="R11" s="189"/>
    </row>
    <row r="12" spans="1:22" ht="15.75" thickBot="1">
      <c r="B12" s="185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1:22" ht="15.75" thickBot="1">
      <c r="B13" s="185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89"/>
    </row>
    <row r="14" spans="1:22" ht="45" customHeight="1" thickBot="1">
      <c r="B14" s="185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189"/>
    </row>
    <row r="15" spans="1:22" ht="15" customHeight="1" thickBot="1"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ht="15" customHeight="1" thickBot="1"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276"/>
      <c r="H27" s="205"/>
      <c r="I27" s="193"/>
      <c r="J27" s="193"/>
      <c r="K27" s="193"/>
      <c r="L27" s="193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11" width="14.28515625" style="236" customWidth="1"/>
    <col min="12" max="12" width="15.7109375" style="236" customWidth="1"/>
    <col min="13" max="13" width="10.7109375" style="236" customWidth="1"/>
    <col min="14" max="14" width="1.42578125" style="236" customWidth="1"/>
    <col min="15" max="15" width="14.28515625" style="236" customWidth="1"/>
    <col min="16" max="16" width="15.710937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/>
    <col min="22" max="22" width="16.7109375" style="236" bestFit="1" customWidth="1"/>
    <col min="23" max="16384" width="11.42578125" style="236"/>
  </cols>
  <sheetData>
    <row r="1" spans="1:22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185"/>
      <c r="R3" s="189"/>
    </row>
    <row r="4" spans="1:22" ht="15" customHeight="1">
      <c r="B4" s="185"/>
      <c r="R4" s="189"/>
    </row>
    <row r="5" spans="1:22" ht="15" customHeight="1">
      <c r="B5" s="185"/>
      <c r="R5" s="189"/>
    </row>
    <row r="6" spans="1:22" ht="15" customHeight="1" thickBot="1">
      <c r="B6" s="185"/>
      <c r="R6" s="189"/>
    </row>
    <row r="7" spans="1:22" ht="15" hidden="1" customHeight="1">
      <c r="B7" s="185"/>
      <c r="R7" s="189"/>
    </row>
    <row r="8" spans="1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1:22">
      <c r="B9" s="185"/>
      <c r="R9" s="189"/>
    </row>
    <row r="10" spans="1:22">
      <c r="B10" s="185"/>
      <c r="R10" s="189"/>
    </row>
    <row r="11" spans="1:22" ht="15.75" thickBot="1">
      <c r="B11" s="185"/>
      <c r="R11" s="189"/>
    </row>
    <row r="12" spans="1:22" ht="15.75" thickBot="1">
      <c r="B12" s="185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1:22" ht="15.75" thickBot="1">
      <c r="B13" s="185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89"/>
    </row>
    <row r="14" spans="1:22" ht="45" customHeight="1" thickBot="1">
      <c r="B14" s="185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189"/>
    </row>
    <row r="15" spans="1:22" ht="15" customHeight="1" thickBot="1"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ht="15" customHeight="1" thickBot="1"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276"/>
      <c r="H27" s="205"/>
      <c r="I27" s="193"/>
      <c r="J27" s="193"/>
      <c r="K27" s="193"/>
      <c r="L27" s="193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9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11" width="14.28515625" style="236" customWidth="1"/>
    <col min="12" max="12" width="15.7109375" style="236" customWidth="1"/>
    <col min="13" max="13" width="10.7109375" style="236" customWidth="1"/>
    <col min="14" max="14" width="1.42578125" style="236" customWidth="1"/>
    <col min="15" max="15" width="14.28515625" style="236" customWidth="1"/>
    <col min="16" max="16" width="15.710937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/>
    <col min="22" max="22" width="16.7109375" style="236" bestFit="1" customWidth="1"/>
    <col min="23" max="16384" width="11.42578125" style="236"/>
  </cols>
  <sheetData>
    <row r="1" spans="1:22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185"/>
      <c r="R3" s="189"/>
    </row>
    <row r="4" spans="1:22" ht="15" customHeight="1">
      <c r="B4" s="185"/>
      <c r="R4" s="189"/>
    </row>
    <row r="5" spans="1:22" ht="15" customHeight="1">
      <c r="B5" s="185"/>
      <c r="R5" s="189"/>
    </row>
    <row r="6" spans="1:22" ht="15" customHeight="1" thickBot="1">
      <c r="B6" s="185"/>
      <c r="R6" s="189"/>
    </row>
    <row r="7" spans="1:22" ht="15" hidden="1" customHeight="1">
      <c r="B7" s="185"/>
      <c r="R7" s="189"/>
    </row>
    <row r="8" spans="1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1:22">
      <c r="B9" s="185"/>
      <c r="R9" s="189"/>
    </row>
    <row r="10" spans="1:22">
      <c r="B10" s="185"/>
      <c r="R10" s="189"/>
    </row>
    <row r="11" spans="1:22" ht="15.75" thickBot="1">
      <c r="B11" s="185"/>
      <c r="R11" s="189"/>
    </row>
    <row r="12" spans="1:22" ht="15.75" thickBot="1">
      <c r="B12" s="185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1:22" ht="15.75" thickBot="1">
      <c r="B13" s="185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89"/>
    </row>
    <row r="14" spans="1:22" ht="45" customHeight="1" thickBot="1">
      <c r="B14" s="185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189"/>
    </row>
    <row r="15" spans="1:22" ht="15" customHeight="1" thickBot="1"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ht="15" customHeight="1" thickBot="1"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276"/>
      <c r="H27" s="205"/>
      <c r="I27" s="193"/>
      <c r="J27" s="193"/>
      <c r="K27" s="193"/>
      <c r="L27" s="193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11" width="14.28515625" style="236" customWidth="1"/>
    <col min="12" max="12" width="15.7109375" style="236" customWidth="1"/>
    <col min="13" max="13" width="10.7109375" style="236" customWidth="1"/>
    <col min="14" max="14" width="1.42578125" style="236" customWidth="1"/>
    <col min="15" max="15" width="14.28515625" style="236" customWidth="1"/>
    <col min="16" max="16" width="15.710937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/>
    <col min="22" max="22" width="16.7109375" style="236" bestFit="1" customWidth="1"/>
    <col min="23" max="16384" width="11.42578125" style="236"/>
  </cols>
  <sheetData>
    <row r="1" spans="1:22">
      <c r="A1" s="184">
        <v>0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1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185"/>
      <c r="R3" s="189"/>
    </row>
    <row r="4" spans="1:22" ht="15" customHeight="1">
      <c r="B4" s="185"/>
      <c r="R4" s="189"/>
    </row>
    <row r="5" spans="1:22" ht="15" customHeight="1">
      <c r="B5" s="185"/>
      <c r="R5" s="189"/>
    </row>
    <row r="6" spans="1:22" ht="15" customHeight="1" thickBot="1">
      <c r="B6" s="185"/>
      <c r="R6" s="189"/>
    </row>
    <row r="7" spans="1:22" ht="15" hidden="1" customHeight="1">
      <c r="B7" s="185"/>
      <c r="R7" s="189"/>
    </row>
    <row r="8" spans="1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1:22">
      <c r="B9" s="185"/>
      <c r="R9" s="189"/>
    </row>
    <row r="10" spans="1:22">
      <c r="B10" s="185"/>
      <c r="R10" s="189"/>
    </row>
    <row r="11" spans="1:22" ht="15.75" thickBot="1">
      <c r="B11" s="185"/>
      <c r="R11" s="189"/>
    </row>
    <row r="12" spans="1:22" ht="15.75" thickBot="1">
      <c r="B12" s="185"/>
      <c r="C12" s="39"/>
      <c r="D12" s="39"/>
      <c r="E12" s="299" t="s">
        <v>59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1:22" ht="15.75" thickBot="1">
      <c r="B13" s="185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89"/>
    </row>
    <row r="14" spans="1:22" ht="45" customHeight="1" thickBot="1">
      <c r="B14" s="185"/>
      <c r="C14" s="39"/>
      <c r="D14" s="39"/>
      <c r="E14" s="170" t="s">
        <v>61</v>
      </c>
      <c r="F14" s="170" t="s">
        <v>62</v>
      </c>
      <c r="G14" s="171" t="s">
        <v>63</v>
      </c>
      <c r="H14" s="170" t="s">
        <v>64</v>
      </c>
      <c r="I14" s="170" t="s">
        <v>65</v>
      </c>
      <c r="J14" s="170" t="s">
        <v>66</v>
      </c>
      <c r="K14" s="172" t="s">
        <v>67</v>
      </c>
      <c r="L14" s="172" t="s">
        <v>68</v>
      </c>
      <c r="M14" s="172" t="s">
        <v>69</v>
      </c>
      <c r="N14" s="37"/>
      <c r="O14" s="204" t="s">
        <v>67</v>
      </c>
      <c r="P14" s="204" t="s">
        <v>68</v>
      </c>
      <c r="Q14" s="172" t="s">
        <v>69</v>
      </c>
      <c r="R14" s="189"/>
    </row>
    <row r="15" spans="1:22" ht="15" customHeight="1" thickBot="1">
      <c r="B15" s="185"/>
      <c r="C15" s="186"/>
      <c r="D15" s="187"/>
      <c r="E15" s="97"/>
      <c r="F15" s="109"/>
      <c r="G15" s="98"/>
      <c r="H15" s="98"/>
      <c r="I15" s="98"/>
      <c r="J15" s="98"/>
      <c r="K15" s="98"/>
      <c r="L15" s="99"/>
      <c r="M15" s="99"/>
      <c r="N15" s="188"/>
      <c r="O15" s="98"/>
      <c r="P15" s="99"/>
      <c r="Q15" s="99"/>
      <c r="R15" s="189"/>
      <c r="T15" s="206"/>
    </row>
    <row r="16" spans="1:22" ht="15" customHeight="1" thickBot="1">
      <c r="B16" s="185"/>
      <c r="C16" s="191" t="s">
        <v>33</v>
      </c>
      <c r="D16" s="192"/>
      <c r="E16" s="173"/>
      <c r="F16" s="174"/>
      <c r="G16" s="175"/>
      <c r="H16" s="175"/>
      <c r="I16" s="175"/>
      <c r="J16" s="175"/>
      <c r="K16" s="175"/>
      <c r="L16" s="176"/>
      <c r="M16" s="176"/>
      <c r="N16" s="188"/>
      <c r="O16" s="175"/>
      <c r="P16" s="176"/>
      <c r="Q16" s="176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L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276"/>
      <c r="H27" s="205"/>
      <c r="I27" s="193"/>
      <c r="J27" s="193"/>
      <c r="K27" s="193"/>
      <c r="L27" s="193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</sheetPr>
  <dimension ref="A1:V65"/>
  <sheetViews>
    <sheetView showGridLines="0" zoomScale="70" zoomScaleNormal="70" workbookViewId="0">
      <selection activeCell="A16" sqref="A16:XFD16"/>
    </sheetView>
  </sheetViews>
  <sheetFormatPr defaultColWidth="11.42578125" defaultRowHeight="15"/>
  <cols>
    <col min="1" max="1" width="2.85546875" style="105" customWidth="1"/>
    <col min="2" max="2" width="4.28515625" style="114" customWidth="1"/>
    <col min="3" max="3" width="10" style="114" customWidth="1"/>
    <col min="4" max="4" width="50.7109375" style="114" customWidth="1"/>
    <col min="5" max="6" width="21.42578125" style="114" customWidth="1"/>
    <col min="7" max="7" width="26.7109375" style="203" customWidth="1"/>
    <col min="8" max="10" width="14.28515625" style="114" customWidth="1"/>
    <col min="11" max="11" width="10.42578125" style="114" customWidth="1"/>
    <col min="12" max="12" width="7.28515625" style="114" customWidth="1"/>
    <col min="13" max="13" width="10.7109375" style="114" customWidth="1"/>
    <col min="14" max="14" width="1.42578125" style="114" customWidth="1"/>
    <col min="15" max="15" width="7.5703125" style="114" customWidth="1"/>
    <col min="16" max="16" width="6.85546875" style="114" customWidth="1"/>
    <col min="17" max="17" width="10.7109375" style="114" customWidth="1"/>
    <col min="18" max="18" width="4.28515625" style="114" customWidth="1"/>
    <col min="19" max="19" width="2.85546875" style="114" customWidth="1"/>
    <col min="20" max="21" width="11.42578125" style="114" customWidth="1"/>
    <col min="22" max="22" width="16.7109375" style="114" bestFit="1" customWidth="1"/>
    <col min="23" max="27" width="11.42578125" style="114" customWidth="1"/>
    <col min="28" max="16384" width="11.42578125" style="114"/>
  </cols>
  <sheetData>
    <row r="1" spans="1:22">
      <c r="B1" s="105"/>
      <c r="C1" s="105"/>
      <c r="D1" s="105"/>
      <c r="E1" s="105"/>
      <c r="F1" s="105"/>
      <c r="G1" s="219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</row>
    <row r="2" spans="1:22" ht="15" customHeight="1">
      <c r="B2" s="66"/>
      <c r="C2" s="67"/>
      <c r="D2" s="67"/>
      <c r="E2" s="67"/>
      <c r="F2" s="67"/>
      <c r="G2" s="220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1:22" ht="15" customHeight="1">
      <c r="B3" s="70"/>
      <c r="R3" s="71"/>
    </row>
    <row r="4" spans="1:22" ht="15" customHeight="1">
      <c r="B4" s="70"/>
      <c r="R4" s="71"/>
    </row>
    <row r="5" spans="1:22" ht="15" customHeight="1">
      <c r="B5" s="70"/>
      <c r="R5" s="71"/>
    </row>
    <row r="6" spans="1:22" ht="15" customHeight="1" thickBot="1">
      <c r="B6" s="70"/>
      <c r="R6" s="71"/>
    </row>
    <row r="7" spans="1:22" ht="15" hidden="1" customHeight="1">
      <c r="B7" s="70"/>
      <c r="R7" s="71"/>
    </row>
    <row r="8" spans="1:22" ht="60" customHeight="1" thickBot="1">
      <c r="B8" s="70"/>
      <c r="C8" s="283" t="str">
        <f>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 xml:space="preserve"> : Détail des Prestations Réglées - Synthèse par famille d'actes - années 2019 et 2020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71"/>
      <c r="V8" s="190"/>
    </row>
    <row r="9" spans="1:22">
      <c r="B9" s="70"/>
      <c r="R9" s="71"/>
    </row>
    <row r="10" spans="1:22">
      <c r="B10" s="70"/>
      <c r="R10" s="71"/>
    </row>
    <row r="11" spans="1:22">
      <c r="B11" s="70"/>
      <c r="R11" s="71"/>
    </row>
    <row r="12" spans="1:22">
      <c r="B12" s="70"/>
      <c r="C12" s="39"/>
      <c r="D12" s="39"/>
      <c r="E12" s="302" t="s">
        <v>66</v>
      </c>
      <c r="F12" s="303"/>
      <c r="G12" s="304"/>
      <c r="H12" s="39"/>
      <c r="I12" s="39"/>
      <c r="M12" s="39"/>
      <c r="N12" s="37"/>
      <c r="R12" s="71"/>
    </row>
    <row r="13" spans="1:22">
      <c r="B13" s="70"/>
      <c r="C13" s="39"/>
      <c r="D13" s="39"/>
      <c r="E13" s="39"/>
      <c r="F13" s="39"/>
      <c r="G13" s="221"/>
      <c r="H13" s="39"/>
      <c r="I13" s="39"/>
      <c r="J13" s="39"/>
      <c r="K13" s="39"/>
      <c r="L13" s="39"/>
      <c r="M13" s="39"/>
      <c r="N13" s="37"/>
      <c r="R13" s="71"/>
    </row>
    <row r="14" spans="1:22" ht="45" customHeight="1">
      <c r="B14" s="70"/>
      <c r="C14" s="39"/>
      <c r="D14" s="39"/>
      <c r="E14" s="216">
        <v>2019</v>
      </c>
      <c r="F14" s="216">
        <v>2020</v>
      </c>
      <c r="G14" s="217" t="s">
        <v>156</v>
      </c>
      <c r="H14" s="39"/>
      <c r="I14" s="39"/>
      <c r="J14" s="39"/>
      <c r="K14" s="39"/>
      <c r="L14" s="39"/>
      <c r="M14" s="39"/>
      <c r="N14" s="37"/>
      <c r="R14" s="71"/>
    </row>
    <row r="15" spans="1:22" s="190" customFormat="1" ht="15" customHeight="1" thickBot="1">
      <c r="A15" s="184"/>
      <c r="B15" s="185"/>
      <c r="C15" s="186"/>
      <c r="D15" s="187"/>
      <c r="E15" s="97"/>
      <c r="F15" s="97"/>
      <c r="G15" s="222"/>
      <c r="H15" s="39"/>
      <c r="I15" s="39"/>
      <c r="J15" s="39"/>
      <c r="K15" s="39"/>
      <c r="L15" s="39"/>
      <c r="M15" s="39"/>
      <c r="N15" s="188"/>
      <c r="O15" s="114"/>
      <c r="P15" s="114"/>
      <c r="Q15" s="114"/>
      <c r="R15" s="189"/>
      <c r="T15" s="206"/>
    </row>
    <row r="16" spans="1:22" s="190" customFormat="1" ht="15" customHeight="1" thickBot="1">
      <c r="A16" s="184"/>
      <c r="B16" s="185"/>
      <c r="C16" s="191" t="s">
        <v>33</v>
      </c>
      <c r="D16" s="192"/>
      <c r="E16" s="218"/>
      <c r="F16" s="218"/>
      <c r="G16" s="223"/>
      <c r="H16" s="39"/>
      <c r="I16" s="39"/>
      <c r="J16" s="39"/>
      <c r="K16" s="39"/>
      <c r="L16" s="39"/>
      <c r="M16" s="39"/>
      <c r="N16" s="188"/>
      <c r="O16" s="114"/>
      <c r="P16" s="114"/>
      <c r="Q16" s="114"/>
      <c r="R16" s="189"/>
    </row>
    <row r="17" spans="1:18" s="190" customFormat="1" ht="15" customHeight="1">
      <c r="A17" s="184"/>
      <c r="B17" s="185"/>
      <c r="C17" s="193"/>
      <c r="D17" s="194"/>
      <c r="E17" s="215"/>
      <c r="F17" s="194"/>
      <c r="G17" s="215"/>
      <c r="H17" s="39"/>
      <c r="I17" s="39"/>
      <c r="J17" s="39"/>
      <c r="K17" s="39"/>
      <c r="L17" s="39"/>
      <c r="M17" s="39"/>
      <c r="N17" s="194"/>
      <c r="O17" s="194"/>
      <c r="P17" s="194"/>
      <c r="Q17" s="194"/>
      <c r="R17" s="189"/>
    </row>
    <row r="18" spans="1:18" s="190" customFormat="1" ht="15" customHeight="1">
      <c r="A18" s="184"/>
      <c r="B18" s="185"/>
      <c r="C18" s="193"/>
      <c r="D18" s="193"/>
      <c r="E18" s="193"/>
      <c r="F18" s="193"/>
      <c r="G18" s="224"/>
      <c r="H18" s="193"/>
      <c r="I18" s="193"/>
      <c r="J18" s="193"/>
      <c r="K18" s="193"/>
      <c r="L18" s="193"/>
      <c r="M18" s="193"/>
      <c r="N18" s="193"/>
      <c r="O18" s="193"/>
      <c r="P18" s="194"/>
      <c r="Q18" s="194"/>
      <c r="R18" s="189"/>
    </row>
    <row r="19" spans="1:18" s="190" customFormat="1" ht="15" customHeight="1">
      <c r="A19" s="184"/>
      <c r="B19" s="185"/>
      <c r="C19" s="193"/>
      <c r="D19" s="193"/>
      <c r="E19" s="193"/>
      <c r="F19" s="193"/>
      <c r="G19" s="224"/>
      <c r="H19" s="193"/>
      <c r="I19" s="193"/>
      <c r="J19" s="193"/>
      <c r="K19" s="193"/>
      <c r="L19" s="193"/>
      <c r="M19" s="193"/>
      <c r="N19" s="193"/>
      <c r="O19" s="193"/>
      <c r="P19" s="194"/>
      <c r="Q19" s="194"/>
      <c r="R19" s="189"/>
    </row>
    <row r="20" spans="1:18" s="190" customFormat="1" ht="15" customHeight="1">
      <c r="A20" s="184"/>
      <c r="B20" s="185"/>
      <c r="C20" s="193"/>
      <c r="D20" s="193"/>
      <c r="E20" s="193"/>
      <c r="F20" s="193"/>
      <c r="G20" s="224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1:18" s="190" customFormat="1" ht="15" customHeight="1">
      <c r="A21" s="184"/>
      <c r="B21" s="185"/>
      <c r="C21" s="193"/>
      <c r="D21" s="193"/>
      <c r="E21" s="193"/>
      <c r="F21" s="193"/>
      <c r="G21" s="224"/>
      <c r="H21" s="193"/>
      <c r="I21" s="193"/>
      <c r="J21" s="193"/>
      <c r="K21" s="193"/>
      <c r="L21" s="193"/>
      <c r="M21" s="193"/>
      <c r="N21" s="193"/>
      <c r="O21" s="193"/>
      <c r="P21" s="194"/>
      <c r="Q21" s="194"/>
      <c r="R21" s="189"/>
    </row>
    <row r="22" spans="1:18" s="190" customFormat="1" ht="15" customHeight="1">
      <c r="A22" s="184"/>
      <c r="B22" s="185"/>
      <c r="C22" s="193"/>
      <c r="D22" s="193"/>
      <c r="E22" s="193"/>
      <c r="F22" s="193"/>
      <c r="G22" s="224"/>
      <c r="H22" s="193"/>
      <c r="I22" s="193"/>
      <c r="J22" s="193"/>
      <c r="K22" s="193"/>
      <c r="L22" s="193"/>
      <c r="M22" s="193"/>
      <c r="N22" s="193"/>
      <c r="O22" s="193"/>
      <c r="P22" s="194"/>
      <c r="Q22" s="194"/>
      <c r="R22" s="189"/>
    </row>
    <row r="23" spans="1:18" s="190" customFormat="1" ht="15" customHeight="1">
      <c r="A23" s="184"/>
      <c r="B23" s="185"/>
      <c r="C23" s="193"/>
      <c r="D23" s="194"/>
      <c r="E23" s="194"/>
      <c r="F23" s="194"/>
      <c r="G23" s="215"/>
      <c r="H23" s="194"/>
      <c r="I23" s="194"/>
      <c r="J23" s="194"/>
      <c r="K23" s="194"/>
      <c r="L23" s="194"/>
      <c r="M23" s="194"/>
      <c r="N23" s="194"/>
      <c r="O23" s="194"/>
      <c r="P23" s="194"/>
      <c r="Q23" s="194"/>
      <c r="R23" s="189"/>
    </row>
    <row r="24" spans="1:18" s="190" customFormat="1" ht="15" customHeight="1">
      <c r="A24" s="184"/>
      <c r="B24" s="185"/>
      <c r="C24" s="193"/>
      <c r="D24" s="193"/>
      <c r="E24" s="193"/>
      <c r="F24" s="193"/>
      <c r="G24" s="224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1:18" s="190" customFormat="1" ht="12" customHeight="1">
      <c r="A25" s="184"/>
      <c r="B25" s="195"/>
      <c r="C25" s="196"/>
      <c r="D25" s="196"/>
      <c r="E25" s="196"/>
      <c r="F25" s="196"/>
      <c r="G25" s="225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1:18" ht="15.75">
      <c r="G26" s="226"/>
      <c r="J26" s="52"/>
      <c r="K26" s="1"/>
      <c r="L26" s="1"/>
      <c r="M26" s="1"/>
      <c r="N26" s="1"/>
      <c r="O26" s="1"/>
      <c r="P26" s="18"/>
      <c r="Q26" s="18"/>
    </row>
    <row r="27" spans="1:18" ht="15.75">
      <c r="G27" s="227"/>
      <c r="H27" s="205"/>
      <c r="I27" s="1"/>
      <c r="J27" s="1"/>
      <c r="K27" s="1"/>
      <c r="L27" s="1"/>
      <c r="M27" s="1"/>
      <c r="N27" s="1"/>
      <c r="O27" s="1"/>
      <c r="P27" s="18"/>
      <c r="Q27" s="18"/>
    </row>
    <row r="47" spans="1:7" s="236" customFormat="1">
      <c r="A47" s="184"/>
      <c r="G47" s="203"/>
    </row>
    <row r="48" spans="1:7" s="236" customFormat="1">
      <c r="A48" s="184"/>
      <c r="G48" s="203"/>
    </row>
    <row r="49" spans="1:7" s="236" customFormat="1">
      <c r="A49" s="184"/>
      <c r="G49" s="203"/>
    </row>
    <row r="50" spans="1:7" s="236" customFormat="1">
      <c r="A50" s="184"/>
      <c r="G50" s="203"/>
    </row>
    <row r="51" spans="1:7" s="236" customFormat="1">
      <c r="A51" s="184"/>
      <c r="G51" s="203"/>
    </row>
    <row r="52" spans="1:7" s="236" customFormat="1">
      <c r="A52" s="184"/>
      <c r="G52" s="203"/>
    </row>
    <row r="53" spans="1:7" s="236" customFormat="1">
      <c r="A53" s="184"/>
      <c r="G53" s="203"/>
    </row>
    <row r="54" spans="1:7" s="236" customFormat="1">
      <c r="A54" s="184"/>
      <c r="G54" s="203"/>
    </row>
    <row r="55" spans="1:7" s="236" customFormat="1">
      <c r="A55" s="184"/>
      <c r="G55" s="203"/>
    </row>
    <row r="56" spans="1:7" s="236" customFormat="1">
      <c r="A56" s="184"/>
      <c r="G56" s="203"/>
    </row>
    <row r="57" spans="1:7" s="236" customFormat="1">
      <c r="A57" s="184"/>
      <c r="G57" s="203"/>
    </row>
    <row r="58" spans="1:7" s="236" customFormat="1">
      <c r="A58" s="184"/>
      <c r="G58" s="203"/>
    </row>
    <row r="59" spans="1:7" s="236" customFormat="1">
      <c r="A59" s="184"/>
      <c r="G59" s="203"/>
    </row>
    <row r="60" spans="1:7" s="236" customFormat="1">
      <c r="A60" s="184"/>
      <c r="G60" s="203"/>
    </row>
    <row r="61" spans="1:7" s="236" customFormat="1">
      <c r="A61" s="184"/>
      <c r="G61" s="203"/>
    </row>
    <row r="62" spans="1:7" s="236" customFormat="1">
      <c r="A62" s="184"/>
      <c r="G62" s="203"/>
    </row>
    <row r="63" spans="1:7" s="236" customFormat="1">
      <c r="A63" s="184"/>
      <c r="G63" s="203"/>
    </row>
    <row r="64" spans="1:7" s="236" customFormat="1">
      <c r="A64" s="184"/>
      <c r="G64" s="203"/>
    </row>
    <row r="65" spans="1:7" s="236" customFormat="1">
      <c r="A65" s="184"/>
      <c r="G65" s="203"/>
    </row>
  </sheetData>
  <mergeCells count="2">
    <mergeCell ref="C8:Q8"/>
    <mergeCell ref="E12:G12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</sheetPr>
  <dimension ref="A1:V28"/>
  <sheetViews>
    <sheetView showGridLines="0" zoomScale="70" zoomScaleNormal="70" workbookViewId="0">
      <selection activeCell="G20" sqref="G20"/>
    </sheetView>
  </sheetViews>
  <sheetFormatPr defaultColWidth="11.42578125" defaultRowHeight="15"/>
  <cols>
    <col min="1" max="1" width="2.85546875" style="184" customWidth="1"/>
    <col min="2" max="2" width="4.28515625" style="236" customWidth="1"/>
    <col min="3" max="3" width="10" style="236" customWidth="1"/>
    <col min="4" max="4" width="50.7109375" style="236" customWidth="1"/>
    <col min="5" max="5" width="12" style="236" bestFit="1" customWidth="1"/>
    <col min="6" max="6" width="14.28515625" style="236" customWidth="1"/>
    <col min="7" max="12" width="16.28515625" style="236" customWidth="1"/>
    <col min="13" max="13" width="10.7109375" style="236" customWidth="1"/>
    <col min="14" max="14" width="1.42578125" style="236" customWidth="1"/>
    <col min="15" max="16" width="15.28515625" style="236" customWidth="1"/>
    <col min="17" max="17" width="10.7109375" style="236" customWidth="1"/>
    <col min="18" max="18" width="4.28515625" style="236" customWidth="1"/>
    <col min="19" max="19" width="2.85546875" style="236" customWidth="1"/>
    <col min="20" max="21" width="11.42578125" style="236" customWidth="1"/>
    <col min="22" max="22" width="16.7109375" style="236" bestFit="1" customWidth="1"/>
    <col min="23" max="27" width="11.42578125" style="236" customWidth="1"/>
    <col min="28" max="16384" width="11.42578125" style="236"/>
  </cols>
  <sheetData>
    <row r="1" spans="2:22"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</row>
    <row r="2" spans="2:22" ht="15" customHeight="1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V2" s="40"/>
    </row>
    <row r="3" spans="2:22" ht="15" customHeight="1">
      <c r="B3" s="185"/>
      <c r="R3" s="189"/>
    </row>
    <row r="4" spans="2:22" ht="15" customHeight="1">
      <c r="B4" s="185"/>
      <c r="R4" s="189"/>
    </row>
    <row r="5" spans="2:22" ht="15" customHeight="1">
      <c r="B5" s="185"/>
      <c r="R5" s="189"/>
    </row>
    <row r="6" spans="2:22" ht="15" customHeight="1" thickBot="1">
      <c r="B6" s="185"/>
      <c r="R6" s="189"/>
    </row>
    <row r="7" spans="2:22" ht="15" hidden="1" customHeight="1">
      <c r="B7" s="185"/>
      <c r="R7" s="189"/>
    </row>
    <row r="8" spans="2:22" ht="60" customHeight="1" thickBot="1">
      <c r="B8" s="185"/>
      <c r="C8" s="283" t="str">
        <f>'Page de garde'!C13&amp;" : Détail des Prestations Réglées - Synthèse par famille d'actes"</f>
        <v xml:space="preserve">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9"/>
    </row>
    <row r="9" spans="2:22">
      <c r="B9" s="185"/>
      <c r="R9" s="189"/>
    </row>
    <row r="10" spans="2:22">
      <c r="B10" s="185"/>
      <c r="R10" s="189"/>
    </row>
    <row r="11" spans="2:22" ht="15.75" thickBot="1">
      <c r="B11" s="185"/>
      <c r="R11" s="189"/>
    </row>
    <row r="12" spans="2:22" ht="15.75" thickBot="1">
      <c r="B12" s="185"/>
      <c r="C12" s="39"/>
      <c r="D12" s="39"/>
      <c r="E12" s="299" t="s">
        <v>233</v>
      </c>
      <c r="F12" s="300"/>
      <c r="G12" s="300"/>
      <c r="H12" s="300"/>
      <c r="I12" s="300"/>
      <c r="J12" s="300"/>
      <c r="K12" s="300"/>
      <c r="L12" s="300"/>
      <c r="M12" s="301"/>
      <c r="N12" s="37"/>
      <c r="O12" s="299" t="s">
        <v>60</v>
      </c>
      <c r="P12" s="300"/>
      <c r="Q12" s="301"/>
      <c r="R12" s="189"/>
    </row>
    <row r="13" spans="2:22" ht="15.75" thickBot="1">
      <c r="B13" s="185"/>
      <c r="C13" s="39"/>
      <c r="D13" s="39"/>
      <c r="E13" s="39"/>
      <c r="F13" s="39"/>
      <c r="G13" s="39"/>
      <c r="H13" s="39"/>
      <c r="I13" s="39"/>
      <c r="J13" s="277" t="s">
        <v>239</v>
      </c>
      <c r="K13" s="39"/>
      <c r="L13" s="39"/>
      <c r="M13" s="39"/>
      <c r="N13" s="37"/>
      <c r="O13" s="39"/>
      <c r="P13" s="277" t="s">
        <v>240</v>
      </c>
      <c r="Q13" s="277" t="s">
        <v>241</v>
      </c>
      <c r="R13" s="189"/>
    </row>
    <row r="14" spans="2:22" ht="45" customHeight="1" thickBot="1">
      <c r="B14" s="185"/>
      <c r="C14" s="39"/>
      <c r="D14" s="39"/>
      <c r="E14" s="170" t="s">
        <v>61</v>
      </c>
      <c r="F14" s="170" t="s">
        <v>62</v>
      </c>
      <c r="G14" s="259" t="s">
        <v>229</v>
      </c>
      <c r="H14" s="259" t="s">
        <v>234</v>
      </c>
      <c r="I14" s="259" t="s">
        <v>235</v>
      </c>
      <c r="J14" s="259" t="s">
        <v>230</v>
      </c>
      <c r="K14" s="261" t="s">
        <v>236</v>
      </c>
      <c r="L14" s="261" t="s">
        <v>237</v>
      </c>
      <c r="M14" s="172"/>
      <c r="N14" s="37"/>
      <c r="O14" s="259" t="s">
        <v>229</v>
      </c>
      <c r="P14" s="204" t="s">
        <v>238</v>
      </c>
      <c r="Q14" s="279" t="s">
        <v>242</v>
      </c>
      <c r="R14" s="189"/>
    </row>
    <row r="15" spans="2:22" ht="15" customHeight="1" thickBot="1">
      <c r="B15" s="185"/>
      <c r="C15" s="186"/>
      <c r="D15" s="187"/>
      <c r="E15" s="97"/>
      <c r="F15" s="109"/>
      <c r="G15" s="274"/>
      <c r="H15" s="274"/>
      <c r="I15" s="274"/>
      <c r="J15" s="274"/>
      <c r="K15" s="274"/>
      <c r="L15" s="274"/>
      <c r="M15" s="99"/>
      <c r="N15" s="188"/>
      <c r="O15" s="274"/>
      <c r="P15" s="274"/>
      <c r="Q15" s="278"/>
      <c r="R15" s="189"/>
      <c r="T15" s="206"/>
    </row>
    <row r="16" spans="2:22" ht="15" customHeight="1" thickBot="1">
      <c r="B16" s="185"/>
      <c r="C16" s="191" t="s">
        <v>33</v>
      </c>
      <c r="D16" s="192"/>
      <c r="E16" s="173"/>
      <c r="F16" s="174"/>
      <c r="G16" s="275"/>
      <c r="H16" s="275"/>
      <c r="I16" s="275"/>
      <c r="J16" s="275"/>
      <c r="K16" s="275"/>
      <c r="L16" s="275"/>
      <c r="M16" s="176"/>
      <c r="N16" s="188"/>
      <c r="O16" s="275"/>
      <c r="P16" s="275"/>
      <c r="Q16" s="280"/>
      <c r="R16" s="189"/>
    </row>
    <row r="17" spans="2:18" ht="15" customHeight="1">
      <c r="B17" s="185"/>
      <c r="C17" s="193"/>
      <c r="D17" s="194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89"/>
    </row>
    <row r="18" spans="2:18" ht="15" customHeight="1" thickBot="1">
      <c r="B18" s="185"/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89"/>
    </row>
    <row r="19" spans="2:18" ht="15" customHeight="1" thickBot="1">
      <c r="B19" s="185"/>
      <c r="C19" s="192" t="s">
        <v>143</v>
      </c>
      <c r="D19" s="192"/>
      <c r="E19" s="193"/>
      <c r="F19" s="193"/>
      <c r="G19" s="193"/>
      <c r="H19" s="247"/>
      <c r="I19" s="247"/>
      <c r="J19" s="247"/>
      <c r="K19" s="193"/>
      <c r="L19" s="193"/>
      <c r="M19" s="193"/>
      <c r="N19" s="193"/>
      <c r="O19" s="193"/>
      <c r="P19" s="194"/>
      <c r="Q19" s="194"/>
      <c r="R19" s="189"/>
    </row>
    <row r="20" spans="2:18" ht="15" customHeight="1" thickBot="1">
      <c r="B20" s="185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4"/>
      <c r="Q20" s="194"/>
      <c r="R20" s="189"/>
    </row>
    <row r="21" spans="2:18" ht="15" customHeight="1" thickBot="1">
      <c r="B21" s="185"/>
      <c r="C21" s="192" t="s">
        <v>144</v>
      </c>
      <c r="D21" s="192"/>
      <c r="E21" s="193"/>
      <c r="F21" s="193"/>
      <c r="G21" s="175"/>
      <c r="H21" s="175"/>
      <c r="I21" s="175"/>
      <c r="J21" s="175"/>
      <c r="K21" s="193"/>
      <c r="M21" s="193"/>
      <c r="N21" s="193"/>
      <c r="O21" s="193"/>
      <c r="P21" s="194"/>
      <c r="Q21" s="194"/>
      <c r="R21" s="189"/>
    </row>
    <row r="22" spans="2:18" ht="15" customHeight="1" thickBot="1">
      <c r="B22" s="185"/>
      <c r="C22" s="192" t="s">
        <v>145</v>
      </c>
      <c r="D22" s="192"/>
      <c r="E22" s="193"/>
      <c r="F22" s="193"/>
      <c r="G22" s="175"/>
      <c r="H22" s="175"/>
      <c r="I22" s="175"/>
      <c r="J22" s="175"/>
      <c r="K22" s="193"/>
      <c r="L22" s="193"/>
      <c r="M22" s="193"/>
      <c r="N22" s="193"/>
      <c r="O22" s="193"/>
      <c r="P22" s="194"/>
      <c r="Q22" s="194"/>
      <c r="R22" s="189"/>
    </row>
    <row r="23" spans="2:18" ht="15" customHeight="1">
      <c r="B23" s="185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4"/>
      <c r="Q23" s="194"/>
      <c r="R23" s="189"/>
    </row>
    <row r="24" spans="2:18" ht="15" customHeight="1">
      <c r="B24" s="185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4"/>
      <c r="Q24" s="194"/>
      <c r="R24" s="189"/>
    </row>
    <row r="25" spans="2:18" ht="12" customHeight="1">
      <c r="B25" s="195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7"/>
      <c r="Q25" s="197"/>
      <c r="R25" s="198"/>
    </row>
    <row r="26" spans="2:18" ht="15.75">
      <c r="G26" s="52"/>
      <c r="J26" s="52"/>
      <c r="K26" s="193"/>
      <c r="L26" s="193"/>
      <c r="M26" s="193"/>
      <c r="N26" s="193"/>
      <c r="O26" s="193"/>
      <c r="P26" s="194"/>
      <c r="Q26" s="194"/>
    </row>
    <row r="27" spans="2:18" ht="15.75">
      <c r="G27" s="193"/>
      <c r="H27" s="276"/>
      <c r="I27" s="276"/>
      <c r="J27" s="193"/>
      <c r="K27" s="276"/>
      <c r="L27" s="276"/>
      <c r="M27" s="193"/>
      <c r="N27" s="193"/>
      <c r="O27" s="193"/>
      <c r="P27" s="194"/>
      <c r="Q27" s="194"/>
    </row>
    <row r="28" spans="2:18">
      <c r="H28" s="193"/>
      <c r="I28" s="193"/>
      <c r="J28" s="193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theme="4" tint="0.79998168889431442"/>
  </sheetPr>
  <dimension ref="A1:AA50"/>
  <sheetViews>
    <sheetView showGridLines="0" topLeftCell="A2" zoomScale="70" zoomScaleNormal="70" workbookViewId="0">
      <selection activeCell="F40" sqref="F40"/>
    </sheetView>
  </sheetViews>
  <sheetFormatPr defaultColWidth="11.42578125" defaultRowHeight="15"/>
  <cols>
    <col min="1" max="1" width="2.85546875" style="249" customWidth="1"/>
    <col min="2" max="2" width="4.28515625" style="250" customWidth="1"/>
    <col min="3" max="3" width="18.5703125" style="250" customWidth="1"/>
    <col min="4" max="9" width="11.42578125" style="250" customWidth="1"/>
    <col min="10" max="10" width="14.28515625" style="250" customWidth="1"/>
    <col min="11" max="17" width="11.42578125" style="250" customWidth="1"/>
    <col min="18" max="18" width="18.5703125" style="250" customWidth="1"/>
    <col min="19" max="19" width="4.140625" style="250" customWidth="1"/>
    <col min="20" max="20" width="2.85546875" style="250" customWidth="1"/>
    <col min="21" max="21" width="11.42578125" style="250" customWidth="1"/>
    <col min="22" max="22" width="35.42578125" style="250" bestFit="1" customWidth="1"/>
    <col min="23" max="23" width="11.42578125" style="250"/>
    <col min="24" max="24" width="9.42578125" style="250" bestFit="1" customWidth="1"/>
    <col min="25" max="16384" width="11.42578125" style="250"/>
  </cols>
  <sheetData>
    <row r="1" spans="2:27"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</row>
    <row r="2" spans="2:27">
      <c r="B2" s="251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3"/>
    </row>
    <row r="3" spans="2:27">
      <c r="B3" s="254"/>
      <c r="S3" s="255"/>
    </row>
    <row r="4" spans="2:27">
      <c r="B4" s="254"/>
      <c r="S4" s="255"/>
    </row>
    <row r="5" spans="2:27" ht="15.75" thickBot="1">
      <c r="B5" s="254"/>
      <c r="S5" s="255"/>
    </row>
    <row r="6" spans="2:27" ht="15.75" hidden="1" thickBot="1">
      <c r="B6" s="254"/>
      <c r="S6" s="255"/>
    </row>
    <row r="7" spans="2:27" ht="15.75" hidden="1" thickBot="1">
      <c r="B7" s="254"/>
      <c r="S7" s="255"/>
    </row>
    <row r="8" spans="2:27" ht="61.5" customHeight="1" thickBot="1">
      <c r="B8" s="254"/>
      <c r="C8" s="307" t="str">
        <f>'Page de garde'!C13&amp;" : Analyse de la dépense médicale"</f>
        <v xml:space="preserve"> : Analyse de la dépense médicale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55"/>
    </row>
    <row r="9" spans="2:27">
      <c r="B9" s="254"/>
      <c r="S9" s="255"/>
    </row>
    <row r="10" spans="2:27">
      <c r="B10" s="254"/>
      <c r="S10" s="255"/>
    </row>
    <row r="11" spans="2:27">
      <c r="B11" s="254"/>
      <c r="S11" s="255"/>
    </row>
    <row r="12" spans="2:27">
      <c r="B12" s="254"/>
      <c r="S12" s="255"/>
    </row>
    <row r="13" spans="2:27">
      <c r="B13" s="254"/>
      <c r="S13" s="255"/>
    </row>
    <row r="14" spans="2:27" ht="15.75" customHeight="1">
      <c r="B14" s="254"/>
      <c r="S14" s="255"/>
    </row>
    <row r="15" spans="2:27">
      <c r="B15" s="254"/>
      <c r="S15" s="255"/>
    </row>
    <row r="16" spans="2:27" ht="23.25">
      <c r="B16" s="254"/>
      <c r="S16" s="255"/>
      <c r="V16" s="265"/>
      <c r="W16" s="265"/>
      <c r="X16" s="265"/>
      <c r="Y16" s="265"/>
      <c r="Z16" s="272"/>
      <c r="AA16" s="265"/>
    </row>
    <row r="17" spans="2:27">
      <c r="B17" s="254"/>
      <c r="S17" s="255"/>
      <c r="V17" s="265"/>
      <c r="W17" s="265"/>
      <c r="X17" s="265"/>
      <c r="Y17" s="265"/>
      <c r="Z17" s="265"/>
      <c r="AA17" s="265"/>
    </row>
    <row r="18" spans="2:27">
      <c r="B18" s="254"/>
      <c r="S18" s="255"/>
      <c r="V18" s="273" t="str">
        <f>'DATA QUARTILE'!C2</f>
        <v>ACTES DE PROPHYLAXIE ET PREVENTION</v>
      </c>
      <c r="W18" s="262"/>
      <c r="X18" s="263"/>
      <c r="Y18" s="273"/>
      <c r="Z18" s="262"/>
      <c r="AA18" s="263"/>
    </row>
    <row r="19" spans="2:27">
      <c r="B19" s="254"/>
      <c r="S19" s="255"/>
      <c r="V19" s="264"/>
      <c r="W19" s="265"/>
      <c r="X19" s="266" t="s">
        <v>206</v>
      </c>
      <c r="Y19" s="264"/>
      <c r="Z19" s="265"/>
      <c r="AA19" s="266" t="s">
        <v>206</v>
      </c>
    </row>
    <row r="20" spans="2:27">
      <c r="B20" s="254"/>
      <c r="S20" s="255"/>
      <c r="V20" s="264" t="s">
        <v>231</v>
      </c>
      <c r="W20" s="267">
        <f>VLOOKUP($V$18,'DATA QUARTILE'!$C:$J,2,FALSE)</f>
        <v>0</v>
      </c>
      <c r="X20" s="270">
        <f>ROUND(VLOOKUP($V$18,'DATA QUARTILE'!$C:$J,8,FALSE),0)</f>
        <v>0</v>
      </c>
      <c r="Y20" s="264"/>
      <c r="Z20" s="267" t="e">
        <f>VLOOKUP($Y$18,'DATA QUARTILE'!$C:$J,2,FALSE)</f>
        <v>#N/A</v>
      </c>
      <c r="AA20" s="270" t="e">
        <f>ROUND(VLOOKUP($Y$18,'DATA QUARTILE'!$C:$J,8,FALSE),0)</f>
        <v>#N/A</v>
      </c>
    </row>
    <row r="21" spans="2:27">
      <c r="B21" s="254"/>
      <c r="S21" s="255"/>
      <c r="V21" s="264" t="s">
        <v>221</v>
      </c>
      <c r="W21" s="267">
        <f>VLOOKUP($V$18,'DATA QUARTILE'!$C:$J,4,FALSE)</f>
        <v>0</v>
      </c>
      <c r="X21" s="270">
        <f>X20</f>
        <v>0</v>
      </c>
      <c r="Y21" s="264" t="s">
        <v>222</v>
      </c>
      <c r="Z21" s="267" t="e">
        <f>VLOOKUP($Y$18,'DATA QUARTILE'!$C:$J,4,FALSE)</f>
        <v>#N/A</v>
      </c>
      <c r="AA21" s="270" t="e">
        <f>AA20</f>
        <v>#N/A</v>
      </c>
    </row>
    <row r="22" spans="2:27">
      <c r="B22" s="254"/>
      <c r="S22" s="255"/>
      <c r="V22" s="264" t="s">
        <v>223</v>
      </c>
      <c r="W22" s="267">
        <f>VLOOKUP($V$18,'DATA QUARTILE'!$C:$J,5,FALSE)</f>
        <v>0</v>
      </c>
      <c r="X22" s="270">
        <f>X21</f>
        <v>0</v>
      </c>
      <c r="Y22" s="264" t="s">
        <v>224</v>
      </c>
      <c r="Z22" s="267" t="e">
        <f>VLOOKUP($Y$18,'DATA QUARTILE'!$C:$J,5,FALSE)</f>
        <v>#N/A</v>
      </c>
      <c r="AA22" s="270" t="e">
        <f>AA21</f>
        <v>#N/A</v>
      </c>
    </row>
    <row r="23" spans="2:27">
      <c r="B23" s="254"/>
      <c r="S23" s="255"/>
      <c r="V23" s="264" t="s">
        <v>225</v>
      </c>
      <c r="W23" s="267">
        <f>VLOOKUP($V$18,'DATA QUARTILE'!$C:$J,6,FALSE)</f>
        <v>0</v>
      </c>
      <c r="X23" s="270">
        <f>X22</f>
        <v>0</v>
      </c>
      <c r="Y23" s="264" t="s">
        <v>226</v>
      </c>
      <c r="Z23" s="267" t="e">
        <f>VLOOKUP($Y$18,'DATA QUARTILE'!$C:$J,6,FALSE)</f>
        <v>#N/A</v>
      </c>
      <c r="AA23" s="270" t="e">
        <f>AA22</f>
        <v>#N/A</v>
      </c>
    </row>
    <row r="24" spans="2:27">
      <c r="B24" s="254"/>
      <c r="S24" s="255"/>
      <c r="V24" s="264" t="s">
        <v>227</v>
      </c>
      <c r="W24" s="267">
        <f>VLOOKUP($V$18,'DATA QUARTILE'!$C:$J,7,FALSE)</f>
        <v>0</v>
      </c>
      <c r="X24" s="270">
        <f>X23</f>
        <v>0</v>
      </c>
      <c r="Y24" s="264" t="s">
        <v>228</v>
      </c>
      <c r="Z24" s="267" t="e">
        <f>VLOOKUP($Y$18,'DATA QUARTILE'!$C:$J,7,FALSE)</f>
        <v>#N/A</v>
      </c>
      <c r="AA24" s="270" t="e">
        <f>AA23</f>
        <v>#N/A</v>
      </c>
    </row>
    <row r="25" spans="2:27">
      <c r="B25" s="254"/>
      <c r="S25" s="255"/>
      <c r="V25" s="268" t="s">
        <v>232</v>
      </c>
      <c r="W25" s="269">
        <f>VLOOKUP($V$18,'DATA QUARTILE'!$C:$J,3,FALSE)</f>
        <v>0</v>
      </c>
      <c r="X25" s="271">
        <f>X24</f>
        <v>0</v>
      </c>
      <c r="Y25" s="268"/>
      <c r="Z25" s="269" t="e">
        <f>VLOOKUP($Y$18,'DATA QUARTILE'!$C:$J,3,FALSE)</f>
        <v>#N/A</v>
      </c>
      <c r="AA25" s="271" t="e">
        <f>AA24</f>
        <v>#N/A</v>
      </c>
    </row>
    <row r="26" spans="2:27">
      <c r="B26" s="254"/>
      <c r="S26" s="255"/>
    </row>
    <row r="27" spans="2:27">
      <c r="B27" s="254"/>
      <c r="S27" s="255"/>
    </row>
    <row r="28" spans="2:27">
      <c r="B28" s="254"/>
      <c r="S28" s="255"/>
    </row>
    <row r="29" spans="2:27">
      <c r="B29" s="254"/>
      <c r="S29" s="255"/>
    </row>
    <row r="30" spans="2:27">
      <c r="B30" s="254"/>
      <c r="S30" s="255"/>
    </row>
    <row r="31" spans="2:27">
      <c r="B31" s="254"/>
      <c r="S31" s="255"/>
    </row>
    <row r="32" spans="2:27">
      <c r="B32" s="254"/>
      <c r="S32" s="255"/>
    </row>
    <row r="33" spans="2:19">
      <c r="B33" s="254"/>
      <c r="S33" s="255"/>
    </row>
    <row r="34" spans="2:19">
      <c r="B34" s="254"/>
      <c r="S34" s="255"/>
    </row>
    <row r="35" spans="2:19">
      <c r="B35" s="254"/>
      <c r="S35" s="255"/>
    </row>
    <row r="36" spans="2:19">
      <c r="B36" s="254"/>
      <c r="S36" s="255"/>
    </row>
    <row r="37" spans="2:19">
      <c r="B37" s="254"/>
      <c r="S37" s="255"/>
    </row>
    <row r="38" spans="2:19">
      <c r="B38" s="254"/>
      <c r="S38" s="255"/>
    </row>
    <row r="39" spans="2:19">
      <c r="B39" s="254"/>
      <c r="S39" s="255"/>
    </row>
    <row r="40" spans="2:19">
      <c r="B40" s="254"/>
      <c r="S40" s="255"/>
    </row>
    <row r="41" spans="2:19">
      <c r="B41" s="254"/>
      <c r="S41" s="255"/>
    </row>
    <row r="42" spans="2:19">
      <c r="B42" s="254"/>
      <c r="S42" s="255"/>
    </row>
    <row r="43" spans="2:19">
      <c r="B43" s="254"/>
      <c r="S43" s="255"/>
    </row>
    <row r="44" spans="2:19">
      <c r="B44" s="254"/>
      <c r="S44" s="255"/>
    </row>
    <row r="45" spans="2:19" ht="12.75" customHeight="1">
      <c r="B45" s="254"/>
      <c r="S45" s="255"/>
    </row>
    <row r="46" spans="2:19" ht="14.25" customHeight="1">
      <c r="B46" s="254"/>
      <c r="S46" s="255"/>
    </row>
    <row r="47" spans="2:19">
      <c r="B47" s="254"/>
      <c r="S47" s="255"/>
    </row>
    <row r="48" spans="2:19">
      <c r="B48" s="254"/>
      <c r="S48" s="255"/>
    </row>
    <row r="49" spans="2:19">
      <c r="B49" s="254"/>
      <c r="S49" s="255"/>
    </row>
    <row r="50" spans="2:19" ht="18" customHeight="1">
      <c r="B50" s="256"/>
      <c r="C50" s="257"/>
      <c r="D50" s="25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8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</sheetPr>
  <dimension ref="A1:AA50"/>
  <sheetViews>
    <sheetView showGridLines="0" zoomScale="70" zoomScaleNormal="70" workbookViewId="0">
      <selection activeCell="V18" sqref="V18"/>
    </sheetView>
  </sheetViews>
  <sheetFormatPr defaultColWidth="11.42578125" defaultRowHeight="15"/>
  <cols>
    <col min="1" max="1" width="2.85546875" style="249" customWidth="1"/>
    <col min="2" max="2" width="4.28515625" style="250" customWidth="1"/>
    <col min="3" max="3" width="18.5703125" style="250" customWidth="1"/>
    <col min="4" max="9" width="11.42578125" style="250" customWidth="1"/>
    <col min="10" max="10" width="14.28515625" style="250" customWidth="1"/>
    <col min="11" max="17" width="11.42578125" style="250" customWidth="1"/>
    <col min="18" max="18" width="18.5703125" style="250" customWidth="1"/>
    <col min="19" max="19" width="4.140625" style="250" customWidth="1"/>
    <col min="20" max="20" width="2.85546875" style="250" customWidth="1"/>
    <col min="21" max="21" width="11.42578125" style="250" customWidth="1"/>
    <col min="22" max="22" width="35.7109375" style="250" bestFit="1" customWidth="1"/>
    <col min="23" max="23" width="11.42578125" style="250"/>
    <col min="24" max="24" width="9.42578125" style="250" bestFit="1" customWidth="1"/>
    <col min="25" max="25" width="35.7109375" style="250" bestFit="1" customWidth="1"/>
    <col min="26" max="16384" width="11.42578125" style="250"/>
  </cols>
  <sheetData>
    <row r="1" spans="2:27"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</row>
    <row r="2" spans="2:27">
      <c r="B2" s="251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3"/>
    </row>
    <row r="3" spans="2:27">
      <c r="B3" s="254"/>
      <c r="S3" s="255"/>
    </row>
    <row r="4" spans="2:27">
      <c r="B4" s="254"/>
      <c r="S4" s="255"/>
    </row>
    <row r="5" spans="2:27" ht="15.75" thickBot="1">
      <c r="B5" s="254"/>
      <c r="S5" s="255"/>
    </row>
    <row r="6" spans="2:27" ht="15.75" hidden="1" thickBot="1">
      <c r="B6" s="254"/>
      <c r="S6" s="255"/>
    </row>
    <row r="7" spans="2:27" ht="15.75" hidden="1" thickBot="1">
      <c r="B7" s="254"/>
      <c r="S7" s="255"/>
    </row>
    <row r="8" spans="2:27" ht="61.5" customHeight="1" thickBot="1">
      <c r="B8" s="254"/>
      <c r="C8" s="307" t="str">
        <f>'Page de garde'!C13&amp;" : Analyse de la dépense médicale optique"</f>
        <v xml:space="preserve"> : Analyse de la dépense médicale optique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55"/>
    </row>
    <row r="9" spans="2:27">
      <c r="B9" s="254"/>
      <c r="S9" s="255"/>
    </row>
    <row r="10" spans="2:27">
      <c r="B10" s="254"/>
      <c r="S10" s="255"/>
    </row>
    <row r="11" spans="2:27">
      <c r="B11" s="254"/>
      <c r="S11" s="255"/>
    </row>
    <row r="12" spans="2:27">
      <c r="B12" s="254"/>
      <c r="S12" s="255"/>
    </row>
    <row r="13" spans="2:27">
      <c r="B13" s="254"/>
      <c r="S13" s="255"/>
    </row>
    <row r="14" spans="2:27" ht="15.75" customHeight="1">
      <c r="B14" s="254"/>
      <c r="S14" s="255"/>
    </row>
    <row r="15" spans="2:27">
      <c r="B15" s="254"/>
      <c r="S15" s="255"/>
    </row>
    <row r="16" spans="2:27" ht="23.25">
      <c r="B16" s="254"/>
      <c r="S16" s="255"/>
      <c r="V16" s="265"/>
      <c r="W16" s="265"/>
      <c r="X16" s="265"/>
      <c r="Y16" s="265"/>
      <c r="Z16" s="272"/>
      <c r="AA16" s="265"/>
    </row>
    <row r="17" spans="2:27">
      <c r="B17" s="254"/>
      <c r="S17" s="255"/>
      <c r="V17" s="265"/>
      <c r="W17" s="265"/>
      <c r="X17" s="265"/>
      <c r="Y17" s="265"/>
      <c r="Z17" s="265"/>
      <c r="AA17" s="265"/>
    </row>
    <row r="18" spans="2:27">
      <c r="B18" s="254"/>
      <c r="S18" s="255"/>
      <c r="V18" s="273" t="str">
        <f>'DATA QUARTILE'!C3</f>
        <v>APPAREILLAGE REFUSE</v>
      </c>
      <c r="W18" s="262"/>
      <c r="X18" s="263"/>
      <c r="Y18" s="273"/>
      <c r="Z18" s="262"/>
      <c r="AA18" s="263"/>
    </row>
    <row r="19" spans="2:27">
      <c r="B19" s="254"/>
      <c r="S19" s="255"/>
      <c r="V19" s="264"/>
      <c r="W19" s="265"/>
      <c r="X19" s="266" t="s">
        <v>206</v>
      </c>
      <c r="Y19" s="264"/>
      <c r="Z19" s="265"/>
      <c r="AA19" s="266" t="s">
        <v>206</v>
      </c>
    </row>
    <row r="20" spans="2:27">
      <c r="B20" s="254"/>
      <c r="S20" s="255"/>
      <c r="V20" s="264" t="s">
        <v>231</v>
      </c>
      <c r="W20" s="267">
        <f>VLOOKUP($V$18,'DATA QUARTILE'!$C:$J,2,FALSE)</f>
        <v>0</v>
      </c>
      <c r="X20" s="270">
        <f>ROUND(VLOOKUP($V$18,'DATA QUARTILE'!$C:$J,8,FALSE),0)</f>
        <v>0</v>
      </c>
      <c r="Y20" s="264"/>
      <c r="Z20" s="267" t="e">
        <f>VLOOKUP($Y$18,'DATA QUARTILE'!$C:$J,2,FALSE)</f>
        <v>#N/A</v>
      </c>
      <c r="AA20" s="270" t="e">
        <f>ROUND(VLOOKUP($Y$18,'DATA QUARTILE'!$C:$J,8,FALSE),0)</f>
        <v>#N/A</v>
      </c>
    </row>
    <row r="21" spans="2:27">
      <c r="B21" s="254"/>
      <c r="S21" s="255"/>
      <c r="V21" s="264" t="s">
        <v>221</v>
      </c>
      <c r="W21" s="267">
        <f>VLOOKUP($V$18,'DATA QUARTILE'!$C:$J,4,FALSE)</f>
        <v>0</v>
      </c>
      <c r="X21" s="270">
        <f>X20</f>
        <v>0</v>
      </c>
      <c r="Y21" s="264" t="s">
        <v>222</v>
      </c>
      <c r="Z21" s="267" t="e">
        <f>VLOOKUP($Y$18,'DATA QUARTILE'!$C:$J,4,FALSE)</f>
        <v>#N/A</v>
      </c>
      <c r="AA21" s="270" t="e">
        <f>AA20</f>
        <v>#N/A</v>
      </c>
    </row>
    <row r="22" spans="2:27">
      <c r="B22" s="254"/>
      <c r="S22" s="255"/>
      <c r="V22" s="264" t="s">
        <v>223</v>
      </c>
      <c r="W22" s="267">
        <f>VLOOKUP($V$18,'DATA QUARTILE'!$C:$J,5,FALSE)</f>
        <v>0</v>
      </c>
      <c r="X22" s="270">
        <f>X21</f>
        <v>0</v>
      </c>
      <c r="Y22" s="264" t="s">
        <v>224</v>
      </c>
      <c r="Z22" s="267" t="e">
        <f>VLOOKUP($Y$18,'DATA QUARTILE'!$C:$J,5,FALSE)</f>
        <v>#N/A</v>
      </c>
      <c r="AA22" s="270" t="e">
        <f>AA21</f>
        <v>#N/A</v>
      </c>
    </row>
    <row r="23" spans="2:27">
      <c r="B23" s="254"/>
      <c r="S23" s="255"/>
      <c r="V23" s="264" t="s">
        <v>225</v>
      </c>
      <c r="W23" s="267">
        <f>VLOOKUP($V$18,'DATA QUARTILE'!$C:$J,6,FALSE)</f>
        <v>0</v>
      </c>
      <c r="X23" s="270">
        <f>X22</f>
        <v>0</v>
      </c>
      <c r="Y23" s="264" t="s">
        <v>226</v>
      </c>
      <c r="Z23" s="267" t="e">
        <f>VLOOKUP($Y$18,'DATA QUARTILE'!$C:$J,6,FALSE)</f>
        <v>#N/A</v>
      </c>
      <c r="AA23" s="270" t="e">
        <f>AA22</f>
        <v>#N/A</v>
      </c>
    </row>
    <row r="24" spans="2:27">
      <c r="B24" s="254"/>
      <c r="S24" s="255"/>
      <c r="V24" s="264" t="s">
        <v>227</v>
      </c>
      <c r="W24" s="267">
        <f>VLOOKUP($V$18,'DATA QUARTILE'!$C:$J,7,FALSE)</f>
        <v>0</v>
      </c>
      <c r="X24" s="270">
        <f>X23</f>
        <v>0</v>
      </c>
      <c r="Y24" s="264" t="s">
        <v>228</v>
      </c>
      <c r="Z24" s="267" t="e">
        <f>VLOOKUP($Y$18,'DATA QUARTILE'!$C:$J,7,FALSE)</f>
        <v>#N/A</v>
      </c>
      <c r="AA24" s="270" t="e">
        <f>AA23</f>
        <v>#N/A</v>
      </c>
    </row>
    <row r="25" spans="2:27">
      <c r="B25" s="254"/>
      <c r="S25" s="255"/>
      <c r="V25" s="268" t="s">
        <v>232</v>
      </c>
      <c r="W25" s="269">
        <f>VLOOKUP($V$18,'DATA QUARTILE'!$C:$J,3,FALSE)</f>
        <v>0</v>
      </c>
      <c r="X25" s="271">
        <f>X24</f>
        <v>0</v>
      </c>
      <c r="Y25" s="268"/>
      <c r="Z25" s="269" t="e">
        <f>VLOOKUP($Y$18,'DATA QUARTILE'!$C:$J,3,FALSE)</f>
        <v>#N/A</v>
      </c>
      <c r="AA25" s="271" t="e">
        <f>AA24</f>
        <v>#N/A</v>
      </c>
    </row>
    <row r="26" spans="2:27">
      <c r="B26" s="254"/>
      <c r="S26" s="255"/>
    </row>
    <row r="27" spans="2:27">
      <c r="B27" s="254"/>
      <c r="S27" s="255"/>
    </row>
    <row r="28" spans="2:27">
      <c r="B28" s="254"/>
      <c r="S28" s="255"/>
    </row>
    <row r="29" spans="2:27">
      <c r="B29" s="254"/>
      <c r="S29" s="255"/>
    </row>
    <row r="30" spans="2:27">
      <c r="B30" s="254"/>
      <c r="S30" s="255"/>
    </row>
    <row r="31" spans="2:27">
      <c r="B31" s="254"/>
      <c r="S31" s="255"/>
    </row>
    <row r="32" spans="2:27">
      <c r="B32" s="254"/>
      <c r="S32" s="255"/>
    </row>
    <row r="33" spans="2:19">
      <c r="B33" s="254"/>
      <c r="S33" s="255"/>
    </row>
    <row r="34" spans="2:19">
      <c r="B34" s="254"/>
      <c r="S34" s="255"/>
    </row>
    <row r="35" spans="2:19">
      <c r="B35" s="254"/>
      <c r="S35" s="255"/>
    </row>
    <row r="36" spans="2:19">
      <c r="B36" s="254"/>
      <c r="S36" s="255"/>
    </row>
    <row r="37" spans="2:19">
      <c r="B37" s="254"/>
      <c r="S37" s="255"/>
    </row>
    <row r="38" spans="2:19">
      <c r="B38" s="254"/>
      <c r="S38" s="255"/>
    </row>
    <row r="39" spans="2:19">
      <c r="B39" s="254"/>
      <c r="S39" s="255"/>
    </row>
    <row r="40" spans="2:19">
      <c r="B40" s="254"/>
      <c r="S40" s="255"/>
    </row>
    <row r="41" spans="2:19">
      <c r="B41" s="254"/>
      <c r="S41" s="255"/>
    </row>
    <row r="42" spans="2:19">
      <c r="B42" s="254"/>
      <c r="S42" s="255"/>
    </row>
    <row r="43" spans="2:19">
      <c r="B43" s="254"/>
      <c r="S43" s="255"/>
    </row>
    <row r="44" spans="2:19">
      <c r="B44" s="254"/>
      <c r="S44" s="255"/>
    </row>
    <row r="45" spans="2:19" ht="12.75" customHeight="1">
      <c r="B45" s="254"/>
      <c r="S45" s="255"/>
    </row>
    <row r="46" spans="2:19" ht="14.25" customHeight="1">
      <c r="B46" s="254"/>
      <c r="S46" s="255"/>
    </row>
    <row r="47" spans="2:19">
      <c r="B47" s="254"/>
      <c r="S47" s="255"/>
    </row>
    <row r="48" spans="2:19">
      <c r="B48" s="254"/>
      <c r="S48" s="255"/>
    </row>
    <row r="49" spans="2:19">
      <c r="B49" s="254"/>
      <c r="S49" s="255"/>
    </row>
    <row r="50" spans="2:19" ht="18" customHeight="1">
      <c r="B50" s="256"/>
      <c r="C50" s="257"/>
      <c r="D50" s="25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8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</sheetPr>
  <dimension ref="A1:AA50"/>
  <sheetViews>
    <sheetView showGridLines="0" zoomScale="70" zoomScaleNormal="70" workbookViewId="0">
      <selection activeCell="V19" sqref="V19"/>
    </sheetView>
  </sheetViews>
  <sheetFormatPr defaultColWidth="11.42578125" defaultRowHeight="15"/>
  <cols>
    <col min="1" max="1" width="2.85546875" style="249" customWidth="1"/>
    <col min="2" max="2" width="4.28515625" style="250" customWidth="1"/>
    <col min="3" max="3" width="18.5703125" style="250" customWidth="1"/>
    <col min="4" max="9" width="11.42578125" style="250" customWidth="1"/>
    <col min="10" max="10" width="14.28515625" style="250" customWidth="1"/>
    <col min="11" max="17" width="11.42578125" style="250" customWidth="1"/>
    <col min="18" max="18" width="18.5703125" style="250" customWidth="1"/>
    <col min="19" max="19" width="4.140625" style="250" customWidth="1"/>
    <col min="20" max="20" width="2.85546875" style="250" customWidth="1"/>
    <col min="21" max="21" width="11.42578125" style="250" customWidth="1"/>
    <col min="22" max="22" width="45" style="250" bestFit="1" customWidth="1"/>
    <col min="23" max="23" width="11.42578125" style="250"/>
    <col min="24" max="24" width="9.42578125" style="250" bestFit="1" customWidth="1"/>
    <col min="25" max="16384" width="11.42578125" style="250"/>
  </cols>
  <sheetData>
    <row r="1" spans="2:27"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</row>
    <row r="2" spans="2:27">
      <c r="B2" s="251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3"/>
    </row>
    <row r="3" spans="2:27">
      <c r="B3" s="254"/>
      <c r="S3" s="255"/>
    </row>
    <row r="4" spans="2:27">
      <c r="B4" s="254"/>
      <c r="S4" s="255"/>
    </row>
    <row r="5" spans="2:27" ht="15.75" thickBot="1">
      <c r="B5" s="254"/>
      <c r="S5" s="255"/>
    </row>
    <row r="6" spans="2:27" ht="15.75" hidden="1" thickBot="1">
      <c r="B6" s="254"/>
      <c r="S6" s="255"/>
    </row>
    <row r="7" spans="2:27" ht="15.75" hidden="1" thickBot="1">
      <c r="B7" s="254"/>
      <c r="S7" s="255"/>
    </row>
    <row r="8" spans="2:27" ht="61.5" customHeight="1" thickBot="1">
      <c r="B8" s="254"/>
      <c r="C8" s="307" t="str">
        <f>'Page de garde'!C13&amp;" : Analyse de la dépense médicale dentaire"</f>
        <v xml:space="preserve"> : Analyse de la dépense médicale dentaire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55"/>
    </row>
    <row r="9" spans="2:27">
      <c r="B9" s="254"/>
      <c r="S9" s="255"/>
    </row>
    <row r="10" spans="2:27">
      <c r="B10" s="254"/>
      <c r="S10" s="255"/>
    </row>
    <row r="11" spans="2:27">
      <c r="B11" s="254"/>
      <c r="S11" s="255"/>
    </row>
    <row r="12" spans="2:27">
      <c r="B12" s="254"/>
      <c r="S12" s="255"/>
    </row>
    <row r="13" spans="2:27">
      <c r="B13" s="254"/>
      <c r="S13" s="255"/>
    </row>
    <row r="14" spans="2:27" ht="15.75" customHeight="1">
      <c r="B14" s="254"/>
      <c r="S14" s="255"/>
    </row>
    <row r="15" spans="2:27">
      <c r="B15" s="254"/>
      <c r="S15" s="255"/>
    </row>
    <row r="16" spans="2:27" ht="23.25">
      <c r="B16" s="254"/>
      <c r="S16" s="255"/>
      <c r="V16" s="265"/>
      <c r="W16" s="265"/>
      <c r="X16" s="265"/>
      <c r="Y16" s="265"/>
      <c r="Z16" s="272"/>
      <c r="AA16" s="265"/>
    </row>
    <row r="17" spans="2:27">
      <c r="B17" s="254"/>
      <c r="S17" s="255"/>
      <c r="V17" s="265"/>
      <c r="W17" s="265"/>
      <c r="X17" s="265"/>
      <c r="Y17" s="265"/>
      <c r="Z17" s="265"/>
      <c r="AA17" s="265"/>
    </row>
    <row r="18" spans="2:27">
      <c r="B18" s="254"/>
      <c r="S18" s="255"/>
      <c r="V18" s="273" t="str">
        <f>'DATA QUARTILE'!C4</f>
        <v>AUTRES</v>
      </c>
      <c r="W18" s="262"/>
      <c r="X18" s="263"/>
      <c r="Y18" s="273"/>
      <c r="Z18" s="262"/>
      <c r="AA18" s="263"/>
    </row>
    <row r="19" spans="2:27">
      <c r="B19" s="254"/>
      <c r="S19" s="255"/>
      <c r="V19" s="264"/>
      <c r="W19" s="265"/>
      <c r="X19" s="266" t="s">
        <v>206</v>
      </c>
      <c r="Y19" s="264"/>
      <c r="Z19" s="265"/>
      <c r="AA19" s="266" t="s">
        <v>206</v>
      </c>
    </row>
    <row r="20" spans="2:27">
      <c r="B20" s="254"/>
      <c r="S20" s="255"/>
      <c r="V20" s="264" t="s">
        <v>231</v>
      </c>
      <c r="W20" s="267">
        <f>VLOOKUP($V$18,'DATA QUARTILE'!$C:$J,2,FALSE)</f>
        <v>0</v>
      </c>
      <c r="X20" s="270">
        <f>ROUND(VLOOKUP($V$18,'DATA QUARTILE'!$C:$J,8,FALSE),0)</f>
        <v>0</v>
      </c>
      <c r="Y20" s="264"/>
      <c r="Z20" s="267" t="e">
        <f>VLOOKUP($Y$18,'DATA QUARTILE'!$C:$J,2,FALSE)</f>
        <v>#N/A</v>
      </c>
      <c r="AA20" s="270" t="e">
        <f>ROUND(VLOOKUP($Y$18,'DATA QUARTILE'!$C:$J,8,FALSE),0)</f>
        <v>#N/A</v>
      </c>
    </row>
    <row r="21" spans="2:27">
      <c r="B21" s="254"/>
      <c r="S21" s="255"/>
      <c r="V21" s="264" t="s">
        <v>221</v>
      </c>
      <c r="W21" s="267">
        <f>VLOOKUP($V$18,'DATA QUARTILE'!$C:$J,4,FALSE)</f>
        <v>0</v>
      </c>
      <c r="X21" s="270">
        <f>X20</f>
        <v>0</v>
      </c>
      <c r="Y21" s="264" t="s">
        <v>222</v>
      </c>
      <c r="Z21" s="267" t="e">
        <f>VLOOKUP($Y$18,'DATA QUARTILE'!$C:$J,4,FALSE)</f>
        <v>#N/A</v>
      </c>
      <c r="AA21" s="270" t="e">
        <f>AA20</f>
        <v>#N/A</v>
      </c>
    </row>
    <row r="22" spans="2:27">
      <c r="B22" s="254"/>
      <c r="S22" s="255"/>
      <c r="V22" s="264" t="s">
        <v>223</v>
      </c>
      <c r="W22" s="267">
        <f>VLOOKUP($V$18,'DATA QUARTILE'!$C:$J,5,FALSE)</f>
        <v>0</v>
      </c>
      <c r="X22" s="270">
        <f>X21</f>
        <v>0</v>
      </c>
      <c r="Y22" s="264" t="s">
        <v>224</v>
      </c>
      <c r="Z22" s="267" t="e">
        <f>VLOOKUP($Y$18,'DATA QUARTILE'!$C:$J,5,FALSE)</f>
        <v>#N/A</v>
      </c>
      <c r="AA22" s="270" t="e">
        <f>AA21</f>
        <v>#N/A</v>
      </c>
    </row>
    <row r="23" spans="2:27">
      <c r="B23" s="254"/>
      <c r="S23" s="255"/>
      <c r="V23" s="264" t="s">
        <v>225</v>
      </c>
      <c r="W23" s="267">
        <f>VLOOKUP($V$18,'DATA QUARTILE'!$C:$J,6,FALSE)</f>
        <v>0</v>
      </c>
      <c r="X23" s="270">
        <f>X22</f>
        <v>0</v>
      </c>
      <c r="Y23" s="264" t="s">
        <v>226</v>
      </c>
      <c r="Z23" s="267" t="e">
        <f>VLOOKUP($Y$18,'DATA QUARTILE'!$C:$J,6,FALSE)</f>
        <v>#N/A</v>
      </c>
      <c r="AA23" s="270" t="e">
        <f>AA22</f>
        <v>#N/A</v>
      </c>
    </row>
    <row r="24" spans="2:27">
      <c r="B24" s="254"/>
      <c r="S24" s="255"/>
      <c r="V24" s="264" t="s">
        <v>227</v>
      </c>
      <c r="W24" s="267">
        <f>VLOOKUP($V$18,'DATA QUARTILE'!$C:$J,7,FALSE)</f>
        <v>0</v>
      </c>
      <c r="X24" s="270">
        <f>X23</f>
        <v>0</v>
      </c>
      <c r="Y24" s="264" t="s">
        <v>228</v>
      </c>
      <c r="Z24" s="267" t="e">
        <f>VLOOKUP($Y$18,'DATA QUARTILE'!$C:$J,7,FALSE)</f>
        <v>#N/A</v>
      </c>
      <c r="AA24" s="270" t="e">
        <f>AA23</f>
        <v>#N/A</v>
      </c>
    </row>
    <row r="25" spans="2:27">
      <c r="B25" s="254"/>
      <c r="S25" s="255"/>
      <c r="V25" s="268" t="s">
        <v>232</v>
      </c>
      <c r="W25" s="269">
        <f>VLOOKUP($V$18,'DATA QUARTILE'!$C:$J,3,FALSE)</f>
        <v>0</v>
      </c>
      <c r="X25" s="271">
        <f>X24</f>
        <v>0</v>
      </c>
      <c r="Y25" s="268"/>
      <c r="Z25" s="269" t="e">
        <f>VLOOKUP($Y$18,'DATA QUARTILE'!$C:$J,3,FALSE)</f>
        <v>#N/A</v>
      </c>
      <c r="AA25" s="271" t="e">
        <f>AA24</f>
        <v>#N/A</v>
      </c>
    </row>
    <row r="26" spans="2:27">
      <c r="B26" s="254"/>
      <c r="S26" s="255"/>
    </row>
    <row r="27" spans="2:27">
      <c r="B27" s="254"/>
      <c r="S27" s="255"/>
    </row>
    <row r="28" spans="2:27">
      <c r="B28" s="254"/>
      <c r="S28" s="255"/>
    </row>
    <row r="29" spans="2:27">
      <c r="B29" s="254"/>
      <c r="S29" s="255"/>
    </row>
    <row r="30" spans="2:27">
      <c r="B30" s="254"/>
      <c r="S30" s="255"/>
    </row>
    <row r="31" spans="2:27">
      <c r="B31" s="254"/>
      <c r="S31" s="255"/>
    </row>
    <row r="32" spans="2:27">
      <c r="B32" s="254"/>
      <c r="S32" s="255"/>
    </row>
    <row r="33" spans="2:19">
      <c r="B33" s="254"/>
      <c r="S33" s="255"/>
    </row>
    <row r="34" spans="2:19">
      <c r="B34" s="254"/>
      <c r="S34" s="255"/>
    </row>
    <row r="35" spans="2:19">
      <c r="B35" s="254"/>
      <c r="S35" s="255"/>
    </row>
    <row r="36" spans="2:19">
      <c r="B36" s="254"/>
      <c r="S36" s="255"/>
    </row>
    <row r="37" spans="2:19">
      <c r="B37" s="254"/>
      <c r="S37" s="255"/>
    </row>
    <row r="38" spans="2:19">
      <c r="B38" s="254"/>
      <c r="S38" s="255"/>
    </row>
    <row r="39" spans="2:19">
      <c r="B39" s="254"/>
      <c r="S39" s="255"/>
    </row>
    <row r="40" spans="2:19">
      <c r="B40" s="254"/>
      <c r="S40" s="255"/>
    </row>
    <row r="41" spans="2:19">
      <c r="B41" s="254"/>
      <c r="S41" s="255"/>
    </row>
    <row r="42" spans="2:19">
      <c r="B42" s="254"/>
      <c r="S42" s="255"/>
    </row>
    <row r="43" spans="2:19">
      <c r="B43" s="254"/>
      <c r="S43" s="255"/>
    </row>
    <row r="44" spans="2:19">
      <c r="B44" s="254"/>
      <c r="S44" s="255"/>
    </row>
    <row r="45" spans="2:19" ht="12.75" customHeight="1">
      <c r="B45" s="254"/>
      <c r="S45" s="255"/>
    </row>
    <row r="46" spans="2:19" ht="14.25" customHeight="1">
      <c r="B46" s="254"/>
      <c r="S46" s="255"/>
    </row>
    <row r="47" spans="2:19">
      <c r="B47" s="254"/>
      <c r="S47" s="255"/>
    </row>
    <row r="48" spans="2:19">
      <c r="B48" s="254"/>
      <c r="S48" s="255"/>
    </row>
    <row r="49" spans="2:19">
      <c r="B49" s="254"/>
      <c r="S49" s="255"/>
    </row>
    <row r="50" spans="2:19" ht="18" customHeight="1">
      <c r="B50" s="256"/>
      <c r="C50" s="257"/>
      <c r="D50" s="25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8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"/>
  <sheetViews>
    <sheetView zoomScale="85" zoomScaleNormal="85" workbookViewId="0">
      <selection activeCell="A2" sqref="A2:XFD176"/>
    </sheetView>
  </sheetViews>
  <sheetFormatPr defaultColWidth="11.42578125" defaultRowHeight="15"/>
  <cols>
    <col min="1" max="1" width="7.140625" style="236" bestFit="1" customWidth="1"/>
    <col min="2" max="2" width="21" style="236" bestFit="1" customWidth="1"/>
    <col min="3" max="3" width="4.7109375" style="236" bestFit="1" customWidth="1"/>
    <col min="4" max="4" width="9.5703125" style="236" bestFit="1" customWidth="1"/>
    <col min="5" max="5" width="8.7109375" style="236" bestFit="1" customWidth="1"/>
    <col min="6" max="6" width="25.85546875" style="236" bestFit="1" customWidth="1"/>
    <col min="7" max="7" width="14.5703125" style="236" bestFit="1" customWidth="1"/>
    <col min="8" max="8" width="20.140625" style="236" bestFit="1" customWidth="1"/>
    <col min="9" max="9" width="38" style="236" bestFit="1" customWidth="1"/>
    <col min="10" max="10" width="16.42578125" style="236" bestFit="1" customWidth="1"/>
    <col min="11" max="11" width="11.42578125" style="236" customWidth="1"/>
    <col min="12" max="16384" width="11.42578125" style="236"/>
  </cols>
  <sheetData>
    <row r="1" spans="1:10">
      <c r="A1" s="236" t="s">
        <v>172</v>
      </c>
      <c r="B1" s="236" t="s">
        <v>173</v>
      </c>
      <c r="C1" s="236" t="s">
        <v>174</v>
      </c>
      <c r="D1" s="236" t="s">
        <v>175</v>
      </c>
      <c r="E1" s="236" t="s">
        <v>176</v>
      </c>
      <c r="F1" s="236" t="s">
        <v>177</v>
      </c>
      <c r="G1" s="236" t="s">
        <v>178</v>
      </c>
      <c r="H1" s="236" t="s">
        <v>179</v>
      </c>
      <c r="I1" s="236" t="s">
        <v>180</v>
      </c>
      <c r="J1" s="236" t="s">
        <v>181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1"/>
  <sheetViews>
    <sheetView workbookViewId="0">
      <selection sqref="A1:B1048576"/>
    </sheetView>
  </sheetViews>
  <sheetFormatPr defaultColWidth="11.42578125" defaultRowHeight="15"/>
  <cols>
    <col min="1" max="2" width="11.42578125" style="237" customWidth="1"/>
    <col min="3" max="3" width="16.140625" style="236" bestFit="1" customWidth="1"/>
    <col min="4" max="4" width="37.7109375" style="236" bestFit="1" customWidth="1"/>
    <col min="5" max="5" width="11.42578125" style="236" customWidth="1"/>
    <col min="6" max="6" width="18" style="236" bestFit="1" customWidth="1"/>
    <col min="7" max="7" width="16.42578125" style="236" bestFit="1" customWidth="1"/>
    <col min="8" max="8" width="18.140625" style="236" bestFit="1" customWidth="1"/>
    <col min="9" max="9" width="11.42578125" style="236" customWidth="1"/>
    <col min="10" max="16384" width="11.42578125" style="236"/>
  </cols>
  <sheetData>
    <row r="1" spans="1:8">
      <c r="A1" s="237" t="s">
        <v>182</v>
      </c>
      <c r="B1" s="237" t="s">
        <v>183</v>
      </c>
      <c r="C1" s="236" t="s">
        <v>184</v>
      </c>
      <c r="D1" s="236" t="s">
        <v>185</v>
      </c>
      <c r="E1" s="236" t="s">
        <v>172</v>
      </c>
      <c r="F1" s="236" t="s">
        <v>186</v>
      </c>
      <c r="G1" s="236" t="s">
        <v>181</v>
      </c>
      <c r="H1" s="236" t="s">
        <v>187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1"/>
  <sheetViews>
    <sheetView topLeftCell="B1"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defaultColWidth="11.42578125" defaultRowHeight="15"/>
  <cols>
    <col min="1" max="1" width="10.85546875" style="237" bestFit="1" customWidth="1"/>
    <col min="2" max="2" width="17.5703125" style="236" bestFit="1" customWidth="1"/>
    <col min="3" max="3" width="18.5703125" style="236" bestFit="1" customWidth="1"/>
    <col min="4" max="4" width="11.5703125" style="236" bestFit="1" customWidth="1"/>
    <col min="5" max="6" width="31.85546875" style="236" bestFit="1" customWidth="1"/>
    <col min="7" max="7" width="17.7109375" style="236" bestFit="1" customWidth="1"/>
    <col min="8" max="8" width="10.140625" style="236" bestFit="1" customWidth="1"/>
    <col min="9" max="9" width="11.28515625" style="236" bestFit="1" customWidth="1"/>
    <col min="10" max="10" width="9.7109375" style="236" bestFit="1" customWidth="1"/>
    <col min="11" max="11" width="13.28515625" style="236" bestFit="1" customWidth="1"/>
    <col min="12" max="12" width="11.28515625" style="236" bestFit="1" customWidth="1"/>
    <col min="13" max="13" width="7.85546875" style="236" bestFit="1" customWidth="1"/>
    <col min="14" max="14" width="7" style="236" bestFit="1" customWidth="1"/>
    <col min="15" max="15" width="7.7109375" style="236" bestFit="1" customWidth="1"/>
    <col min="16" max="16" width="9.85546875" style="236" bestFit="1" customWidth="1"/>
    <col min="17" max="17" width="10.28515625" style="236" bestFit="1" customWidth="1"/>
    <col min="18" max="18" width="21.5703125" style="236" bestFit="1" customWidth="1"/>
    <col min="19" max="22" width="11.42578125" style="236" customWidth="1"/>
    <col min="23" max="23" width="33.42578125" style="236" bestFit="1" customWidth="1"/>
    <col min="24" max="28" width="11.42578125" style="236" customWidth="1"/>
    <col min="29" max="16384" width="11.42578125" style="236"/>
  </cols>
  <sheetData>
    <row r="1" spans="1:18">
      <c r="A1" s="237" t="s">
        <v>188</v>
      </c>
      <c r="B1" s="236" t="s">
        <v>184</v>
      </c>
      <c r="C1" s="236" t="s">
        <v>185</v>
      </c>
      <c r="D1" s="236" t="s">
        <v>189</v>
      </c>
      <c r="E1" s="236" t="s">
        <v>190</v>
      </c>
      <c r="F1" s="236" t="s">
        <v>191</v>
      </c>
      <c r="G1" s="236" t="s">
        <v>192</v>
      </c>
      <c r="H1" s="236" t="s">
        <v>193</v>
      </c>
      <c r="I1" s="236" t="s">
        <v>194</v>
      </c>
      <c r="J1" s="236" t="s">
        <v>195</v>
      </c>
      <c r="K1" s="236" t="s">
        <v>196</v>
      </c>
      <c r="L1" s="236" t="s">
        <v>197</v>
      </c>
      <c r="M1" s="236" t="s">
        <v>198</v>
      </c>
      <c r="N1" s="236" t="s">
        <v>199</v>
      </c>
      <c r="O1" s="236" t="s">
        <v>200</v>
      </c>
      <c r="P1" s="236" t="s">
        <v>201</v>
      </c>
      <c r="Q1" s="236" t="s">
        <v>202</v>
      </c>
      <c r="R1" s="236" t="s">
        <v>181</v>
      </c>
    </row>
  </sheetData>
  <pageMargins left="0.7" right="0.7" top="0.75" bottom="0.75" header="0.3" footer="0.3"/>
  <pageSetup paperSize="9" scale="55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Q1"/>
  <sheetViews>
    <sheetView zoomScale="70" zoomScaleNormal="70" workbookViewId="0">
      <pane ySplit="1" topLeftCell="A2" activePane="bottomLeft" state="frozen"/>
      <selection pane="bottomLeft" sqref="A1:A1048576"/>
    </sheetView>
  </sheetViews>
  <sheetFormatPr defaultColWidth="11.42578125" defaultRowHeight="15"/>
  <cols>
    <col min="1" max="1" width="11.5703125" style="260" bestFit="1" customWidth="1"/>
    <col min="2" max="2" width="20.140625" style="250" bestFit="1" customWidth="1"/>
    <col min="3" max="3" width="10.140625" style="250" bestFit="1" customWidth="1"/>
    <col min="4" max="4" width="13" style="250" bestFit="1" customWidth="1"/>
    <col min="5" max="5" width="44.85546875" style="250" bestFit="1" customWidth="1"/>
    <col min="6" max="6" width="8.7109375" style="250" bestFit="1" customWidth="1"/>
    <col min="7" max="7" width="21.140625" style="250" bestFit="1" customWidth="1"/>
    <col min="8" max="8" width="12.140625" style="250" bestFit="1" customWidth="1"/>
    <col min="9" max="10" width="15.85546875" style="250" bestFit="1" customWidth="1"/>
    <col min="11" max="11" width="15.28515625" style="250" bestFit="1" customWidth="1"/>
    <col min="12" max="12" width="15.85546875" style="250" bestFit="1" customWidth="1"/>
    <col min="13" max="13" width="9.5703125" style="250" bestFit="1" customWidth="1"/>
    <col min="14" max="14" width="13.5703125" style="250" bestFit="1" customWidth="1"/>
    <col min="15" max="15" width="10" style="250" bestFit="1" customWidth="1"/>
    <col min="16" max="16" width="14.85546875" style="250" bestFit="1" customWidth="1"/>
    <col min="17" max="17" width="11.7109375" style="250" bestFit="1" customWidth="1"/>
    <col min="18" max="18" width="10" style="250" bestFit="1" customWidth="1"/>
    <col min="19" max="19" width="14.85546875" style="250" bestFit="1" customWidth="1"/>
    <col min="20" max="20" width="11.7109375" style="250" bestFit="1" customWidth="1"/>
    <col min="21" max="22" width="11.42578125" style="250" customWidth="1"/>
    <col min="23" max="23" width="33.42578125" style="250" bestFit="1" customWidth="1"/>
    <col min="24" max="28" width="11.42578125" style="250" customWidth="1"/>
    <col min="29" max="16384" width="11.42578125" style="250"/>
  </cols>
  <sheetData>
    <row r="1" spans="1:17">
      <c r="A1" s="260" t="s">
        <v>188</v>
      </c>
      <c r="B1" s="250" t="s">
        <v>184</v>
      </c>
      <c r="C1" s="250" t="s">
        <v>185</v>
      </c>
      <c r="D1" s="250" t="s">
        <v>189</v>
      </c>
      <c r="E1" s="250" t="s">
        <v>190</v>
      </c>
      <c r="F1" s="250" t="s">
        <v>191</v>
      </c>
      <c r="G1" s="250" t="s">
        <v>192</v>
      </c>
      <c r="H1" s="250" t="s">
        <v>193</v>
      </c>
      <c r="I1" s="250" t="s">
        <v>194</v>
      </c>
      <c r="J1" s="250" t="s">
        <v>195</v>
      </c>
      <c r="K1" s="250" t="s">
        <v>196</v>
      </c>
      <c r="L1" s="250" t="s">
        <v>197</v>
      </c>
      <c r="M1" s="250" t="s">
        <v>198</v>
      </c>
      <c r="N1" s="250" t="s">
        <v>199</v>
      </c>
      <c r="O1" s="250" t="s">
        <v>200</v>
      </c>
      <c r="P1" s="250" t="s">
        <v>201</v>
      </c>
      <c r="Q1" s="250" t="s">
        <v>202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H1"/>
  <sheetViews>
    <sheetView zoomScale="70" zoomScaleNormal="70" workbookViewId="0">
      <selection sqref="A1:A1048576"/>
    </sheetView>
  </sheetViews>
  <sheetFormatPr defaultColWidth="11.42578125" defaultRowHeight="15"/>
  <cols>
    <col min="1" max="1" width="11.5703125" style="237" bestFit="1" customWidth="1"/>
    <col min="2" max="2" width="11.42578125" style="236" bestFit="1" customWidth="1"/>
    <col min="3" max="3" width="10.140625" style="236" bestFit="1" customWidth="1"/>
    <col min="4" max="4" width="13" style="236" bestFit="1" customWidth="1"/>
    <col min="5" max="5" width="44.85546875" style="236" bestFit="1" customWidth="1"/>
    <col min="6" max="6" width="8.7109375" style="236" bestFit="1" customWidth="1"/>
    <col min="7" max="7" width="12.5703125" style="236" bestFit="1" customWidth="1"/>
    <col min="8" max="8" width="20" style="236" bestFit="1" customWidth="1"/>
    <col min="9" max="12" width="11.42578125" style="236" customWidth="1"/>
    <col min="13" max="16384" width="11.42578125" style="236"/>
  </cols>
  <sheetData>
    <row r="1" spans="1:8">
      <c r="A1" s="237" t="s">
        <v>188</v>
      </c>
      <c r="B1" s="236" t="s">
        <v>184</v>
      </c>
      <c r="C1" s="236" t="s">
        <v>185</v>
      </c>
      <c r="D1" s="236" t="s">
        <v>189</v>
      </c>
      <c r="E1" s="236" t="s">
        <v>190</v>
      </c>
      <c r="F1" s="236" t="s">
        <v>191</v>
      </c>
      <c r="G1" s="236" t="s">
        <v>203</v>
      </c>
      <c r="H1" s="236" t="s">
        <v>181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J75"/>
  <sheetViews>
    <sheetView tabSelected="1" workbookViewId="0">
      <selection activeCell="F26" sqref="F26"/>
    </sheetView>
  </sheetViews>
  <sheetFormatPr defaultColWidth="11.42578125" defaultRowHeight="15"/>
  <cols>
    <col min="1" max="1" width="14.140625" style="236" bestFit="1" customWidth="1"/>
    <col min="2" max="2" width="11.7109375" style="236" bestFit="1" customWidth="1"/>
    <col min="3" max="3" width="41.140625" style="236" bestFit="1" customWidth="1"/>
    <col min="4" max="10" width="12" style="236" customWidth="1"/>
    <col min="11" max="16384" width="11.42578125" style="236"/>
  </cols>
  <sheetData>
    <row r="1" spans="1:10">
      <c r="A1" s="236" t="s">
        <v>217</v>
      </c>
      <c r="B1" s="236" t="s">
        <v>218</v>
      </c>
      <c r="C1" s="236" t="s">
        <v>219</v>
      </c>
      <c r="D1" s="203" t="s">
        <v>204</v>
      </c>
      <c r="E1" s="203" t="s">
        <v>205</v>
      </c>
      <c r="F1" s="203" t="s">
        <v>244</v>
      </c>
      <c r="G1" s="203" t="s">
        <v>245</v>
      </c>
      <c r="H1" s="203" t="s">
        <v>246</v>
      </c>
      <c r="I1" s="203" t="s">
        <v>247</v>
      </c>
      <c r="J1" s="203" t="s">
        <v>206</v>
      </c>
    </row>
    <row r="2" spans="1:10">
      <c r="A2" s="199" t="s">
        <v>220</v>
      </c>
      <c r="B2" s="238" t="s">
        <v>70</v>
      </c>
      <c r="C2" s="238" t="s">
        <v>71</v>
      </c>
      <c r="D2" s="239"/>
      <c r="E2" s="239"/>
      <c r="F2" s="239"/>
      <c r="G2" s="239"/>
      <c r="H2" s="239"/>
      <c r="I2" s="239"/>
      <c r="J2" s="239"/>
    </row>
    <row r="3" spans="1:10">
      <c r="A3" s="199" t="s">
        <v>220</v>
      </c>
      <c r="B3" s="238" t="s">
        <v>70</v>
      </c>
      <c r="C3" s="238" t="s">
        <v>157</v>
      </c>
      <c r="D3" s="239"/>
      <c r="E3" s="239"/>
      <c r="F3" s="239"/>
      <c r="G3" s="239"/>
      <c r="H3" s="239"/>
      <c r="I3" s="239"/>
      <c r="J3" s="239"/>
    </row>
    <row r="4" spans="1:10">
      <c r="A4" s="199" t="s">
        <v>220</v>
      </c>
      <c r="B4" s="238" t="s">
        <v>70</v>
      </c>
      <c r="C4" s="238" t="s">
        <v>72</v>
      </c>
      <c r="D4" s="239"/>
      <c r="E4" s="239"/>
      <c r="F4" s="239"/>
      <c r="G4" s="239"/>
      <c r="H4" s="239"/>
      <c r="I4" s="239"/>
      <c r="J4" s="239"/>
    </row>
    <row r="5" spans="1:10">
      <c r="A5" s="199" t="s">
        <v>220</v>
      </c>
      <c r="B5" s="238" t="s">
        <v>70</v>
      </c>
      <c r="C5" s="238" t="s">
        <v>73</v>
      </c>
      <c r="D5" s="239"/>
      <c r="E5" s="239"/>
      <c r="F5" s="239"/>
      <c r="G5" s="239"/>
      <c r="H5" s="239"/>
      <c r="I5" s="239"/>
      <c r="J5" s="239"/>
    </row>
    <row r="6" spans="1:10">
      <c r="A6" s="199" t="s">
        <v>220</v>
      </c>
      <c r="B6" s="238" t="s">
        <v>70</v>
      </c>
      <c r="C6" s="238" t="s">
        <v>74</v>
      </c>
    </row>
    <row r="7" spans="1:10">
      <c r="A7" s="199" t="s">
        <v>220</v>
      </c>
      <c r="B7" s="238" t="s">
        <v>70</v>
      </c>
      <c r="C7" s="238" t="s">
        <v>75</v>
      </c>
    </row>
    <row r="8" spans="1:10">
      <c r="A8" s="199" t="s">
        <v>220</v>
      </c>
      <c r="B8" s="238" t="s">
        <v>70</v>
      </c>
      <c r="C8" s="238" t="s">
        <v>158</v>
      </c>
    </row>
    <row r="9" spans="1:10">
      <c r="A9" s="199" t="s">
        <v>220</v>
      </c>
      <c r="B9" s="238" t="s">
        <v>70</v>
      </c>
      <c r="C9" s="238" t="s">
        <v>76</v>
      </c>
    </row>
    <row r="10" spans="1:10">
      <c r="A10" s="199" t="s">
        <v>220</v>
      </c>
      <c r="B10" s="201" t="s">
        <v>77</v>
      </c>
      <c r="C10" s="201" t="s">
        <v>78</v>
      </c>
    </row>
    <row r="11" spans="1:10">
      <c r="A11" s="199" t="s">
        <v>220</v>
      </c>
      <c r="B11" s="201" t="s">
        <v>77</v>
      </c>
      <c r="C11" s="201" t="s">
        <v>79</v>
      </c>
    </row>
    <row r="12" spans="1:10">
      <c r="A12" s="199" t="s">
        <v>220</v>
      </c>
      <c r="B12" s="238" t="s">
        <v>80</v>
      </c>
      <c r="C12" s="238" t="s">
        <v>81</v>
      </c>
    </row>
    <row r="13" spans="1:10">
      <c r="A13" s="199" t="s">
        <v>220</v>
      </c>
      <c r="B13" s="238" t="s">
        <v>80</v>
      </c>
      <c r="C13" s="238" t="s">
        <v>159</v>
      </c>
    </row>
    <row r="14" spans="1:10">
      <c r="A14" s="199" t="s">
        <v>220</v>
      </c>
      <c r="B14" s="238" t="s">
        <v>80</v>
      </c>
      <c r="C14" s="238" t="s">
        <v>82</v>
      </c>
    </row>
    <row r="15" spans="1:10">
      <c r="A15" s="199" t="s">
        <v>220</v>
      </c>
      <c r="B15" s="238" t="s">
        <v>80</v>
      </c>
      <c r="C15" s="238" t="s">
        <v>83</v>
      </c>
    </row>
    <row r="16" spans="1:10">
      <c r="A16" s="199" t="s">
        <v>220</v>
      </c>
      <c r="B16" s="238" t="s">
        <v>80</v>
      </c>
      <c r="C16" s="238" t="s">
        <v>84</v>
      </c>
    </row>
    <row r="17" spans="1:3">
      <c r="A17" s="199" t="s">
        <v>220</v>
      </c>
      <c r="B17" s="238" t="s">
        <v>80</v>
      </c>
      <c r="C17" s="238" t="s">
        <v>85</v>
      </c>
    </row>
    <row r="18" spans="1:3">
      <c r="A18" s="199" t="s">
        <v>220</v>
      </c>
      <c r="B18" s="238" t="s">
        <v>80</v>
      </c>
      <c r="C18" s="238" t="s">
        <v>86</v>
      </c>
    </row>
    <row r="19" spans="1:3">
      <c r="A19" s="199" t="s">
        <v>220</v>
      </c>
      <c r="B19" s="238" t="s">
        <v>80</v>
      </c>
      <c r="C19" s="238" t="s">
        <v>160</v>
      </c>
    </row>
    <row r="20" spans="1:3">
      <c r="A20" s="199" t="s">
        <v>220</v>
      </c>
      <c r="B20" s="238" t="s">
        <v>80</v>
      </c>
      <c r="C20" s="238" t="s">
        <v>87</v>
      </c>
    </row>
    <row r="21" spans="1:3">
      <c r="A21" s="199" t="s">
        <v>220</v>
      </c>
      <c r="B21" s="238" t="s">
        <v>80</v>
      </c>
      <c r="C21" s="238" t="s">
        <v>88</v>
      </c>
    </row>
    <row r="22" spans="1:3">
      <c r="A22" s="199" t="s">
        <v>220</v>
      </c>
      <c r="B22" s="238" t="s">
        <v>80</v>
      </c>
      <c r="C22" s="238" t="s">
        <v>89</v>
      </c>
    </row>
    <row r="23" spans="1:3">
      <c r="A23" s="199" t="s">
        <v>220</v>
      </c>
      <c r="B23" s="238" t="s">
        <v>80</v>
      </c>
      <c r="C23" s="238" t="s">
        <v>90</v>
      </c>
    </row>
    <row r="24" spans="1:3">
      <c r="A24" s="199" t="s">
        <v>220</v>
      </c>
      <c r="B24" s="238" t="s">
        <v>80</v>
      </c>
      <c r="C24" s="238" t="s">
        <v>91</v>
      </c>
    </row>
    <row r="25" spans="1:3">
      <c r="A25" s="199" t="s">
        <v>220</v>
      </c>
      <c r="B25" s="238" t="s">
        <v>80</v>
      </c>
      <c r="C25" s="238" t="s">
        <v>92</v>
      </c>
    </row>
    <row r="26" spans="1:3">
      <c r="A26" s="199" t="s">
        <v>220</v>
      </c>
      <c r="B26" s="238" t="s">
        <v>80</v>
      </c>
      <c r="C26" s="238" t="s">
        <v>93</v>
      </c>
    </row>
    <row r="27" spans="1:3">
      <c r="A27" s="199" t="s">
        <v>220</v>
      </c>
      <c r="B27" s="238" t="s">
        <v>80</v>
      </c>
      <c r="C27" s="238" t="s">
        <v>161</v>
      </c>
    </row>
    <row r="28" spans="1:3">
      <c r="A28" s="199" t="s">
        <v>220</v>
      </c>
      <c r="B28" s="238" t="s">
        <v>80</v>
      </c>
      <c r="C28" s="238" t="s">
        <v>162</v>
      </c>
    </row>
    <row r="29" spans="1:3">
      <c r="A29" s="199" t="s">
        <v>220</v>
      </c>
      <c r="B29" s="238" t="s">
        <v>80</v>
      </c>
      <c r="C29" s="238" t="s">
        <v>94</v>
      </c>
    </row>
    <row r="30" spans="1:3">
      <c r="A30" s="199" t="s">
        <v>220</v>
      </c>
      <c r="B30" s="238" t="s">
        <v>80</v>
      </c>
      <c r="C30" s="238" t="s">
        <v>95</v>
      </c>
    </row>
    <row r="31" spans="1:3">
      <c r="A31" s="199" t="s">
        <v>220</v>
      </c>
      <c r="B31" s="238" t="s">
        <v>80</v>
      </c>
      <c r="C31" s="238" t="s">
        <v>96</v>
      </c>
    </row>
    <row r="32" spans="1:3">
      <c r="A32" s="199" t="s">
        <v>220</v>
      </c>
      <c r="B32" s="238" t="s">
        <v>80</v>
      </c>
      <c r="C32" s="238" t="s">
        <v>97</v>
      </c>
    </row>
    <row r="33" spans="1:3">
      <c r="A33" s="199" t="s">
        <v>220</v>
      </c>
      <c r="B33" s="238" t="s">
        <v>80</v>
      </c>
      <c r="C33" s="238" t="s">
        <v>98</v>
      </c>
    </row>
    <row r="34" spans="1:3">
      <c r="A34" s="199" t="s">
        <v>220</v>
      </c>
      <c r="B34" s="238" t="s">
        <v>80</v>
      </c>
      <c r="C34" s="238" t="s">
        <v>99</v>
      </c>
    </row>
    <row r="35" spans="1:3">
      <c r="A35" s="199" t="s">
        <v>220</v>
      </c>
      <c r="B35" s="238" t="s">
        <v>80</v>
      </c>
      <c r="C35" s="238" t="s">
        <v>100</v>
      </c>
    </row>
    <row r="36" spans="1:3">
      <c r="A36" s="199" t="s">
        <v>220</v>
      </c>
      <c r="B36" s="238" t="s">
        <v>80</v>
      </c>
      <c r="C36" s="238" t="s">
        <v>101</v>
      </c>
    </row>
    <row r="37" spans="1:3">
      <c r="A37" s="199" t="s">
        <v>220</v>
      </c>
      <c r="B37" s="238" t="s">
        <v>80</v>
      </c>
      <c r="C37" s="238" t="s">
        <v>163</v>
      </c>
    </row>
    <row r="38" spans="1:3">
      <c r="A38" s="199" t="s">
        <v>220</v>
      </c>
      <c r="B38" s="238" t="s">
        <v>80</v>
      </c>
      <c r="C38" s="238" t="s">
        <v>102</v>
      </c>
    </row>
    <row r="39" spans="1:3">
      <c r="A39" s="199" t="s">
        <v>220</v>
      </c>
      <c r="B39" s="238" t="s">
        <v>80</v>
      </c>
      <c r="C39" s="238" t="s">
        <v>103</v>
      </c>
    </row>
    <row r="40" spans="1:3">
      <c r="A40" s="199" t="s">
        <v>220</v>
      </c>
      <c r="B40" s="238" t="s">
        <v>80</v>
      </c>
      <c r="C40" s="238" t="s">
        <v>104</v>
      </c>
    </row>
    <row r="41" spans="1:3">
      <c r="A41" s="199" t="s">
        <v>220</v>
      </c>
      <c r="B41" s="238" t="s">
        <v>80</v>
      </c>
      <c r="C41" s="238" t="s">
        <v>164</v>
      </c>
    </row>
    <row r="42" spans="1:3">
      <c r="A42" s="199" t="s">
        <v>220</v>
      </c>
      <c r="B42" s="238" t="s">
        <v>105</v>
      </c>
      <c r="C42" s="238" t="s">
        <v>106</v>
      </c>
    </row>
    <row r="43" spans="1:3">
      <c r="A43" s="199" t="s">
        <v>220</v>
      </c>
      <c r="B43" s="238" t="s">
        <v>105</v>
      </c>
      <c r="C43" s="238" t="s">
        <v>107</v>
      </c>
    </row>
    <row r="44" spans="1:3">
      <c r="A44" s="199" t="s">
        <v>220</v>
      </c>
      <c r="B44" s="238" t="s">
        <v>105</v>
      </c>
      <c r="C44" s="238" t="s">
        <v>108</v>
      </c>
    </row>
    <row r="45" spans="1:3">
      <c r="A45" s="199" t="s">
        <v>220</v>
      </c>
      <c r="B45" s="238" t="s">
        <v>105</v>
      </c>
      <c r="C45" s="238" t="s">
        <v>109</v>
      </c>
    </row>
    <row r="46" spans="1:3">
      <c r="A46" s="199" t="s">
        <v>220</v>
      </c>
      <c r="B46" s="238" t="s">
        <v>105</v>
      </c>
      <c r="C46" s="238" t="s">
        <v>110</v>
      </c>
    </row>
    <row r="47" spans="1:3">
      <c r="A47" s="199" t="s">
        <v>220</v>
      </c>
      <c r="B47" s="238" t="s">
        <v>105</v>
      </c>
      <c r="C47" s="238" t="s">
        <v>111</v>
      </c>
    </row>
    <row r="48" spans="1:3">
      <c r="A48" s="199" t="s">
        <v>220</v>
      </c>
      <c r="B48" s="238" t="s">
        <v>105</v>
      </c>
      <c r="C48" s="238" t="s">
        <v>112</v>
      </c>
    </row>
    <row r="49" spans="1:3">
      <c r="A49" s="199" t="s">
        <v>220</v>
      </c>
      <c r="B49" s="238" t="s">
        <v>113</v>
      </c>
      <c r="C49" s="238" t="s">
        <v>114</v>
      </c>
    </row>
    <row r="50" spans="1:3">
      <c r="A50" s="199" t="s">
        <v>220</v>
      </c>
      <c r="B50" s="201" t="s">
        <v>115</v>
      </c>
      <c r="C50" s="201" t="s">
        <v>165</v>
      </c>
    </row>
    <row r="51" spans="1:3">
      <c r="A51" s="199" t="s">
        <v>220</v>
      </c>
      <c r="B51" s="201" t="s">
        <v>115</v>
      </c>
      <c r="C51" s="201" t="s">
        <v>116</v>
      </c>
    </row>
    <row r="52" spans="1:3">
      <c r="A52" s="199" t="s">
        <v>220</v>
      </c>
      <c r="B52" s="201" t="s">
        <v>115</v>
      </c>
      <c r="C52" s="201" t="s">
        <v>117</v>
      </c>
    </row>
    <row r="53" spans="1:3">
      <c r="A53" s="199" t="s">
        <v>220</v>
      </c>
      <c r="B53" s="201" t="s">
        <v>115</v>
      </c>
      <c r="C53" s="201" t="s">
        <v>212</v>
      </c>
    </row>
    <row r="54" spans="1:3">
      <c r="A54" s="199" t="s">
        <v>220</v>
      </c>
      <c r="B54" s="201" t="s">
        <v>115</v>
      </c>
      <c r="C54" s="201" t="s">
        <v>118</v>
      </c>
    </row>
    <row r="55" spans="1:3">
      <c r="A55" s="199" t="s">
        <v>220</v>
      </c>
      <c r="B55" s="201" t="s">
        <v>115</v>
      </c>
      <c r="C55" s="201" t="s">
        <v>119</v>
      </c>
    </row>
    <row r="56" spans="1:3">
      <c r="A56" s="199" t="s">
        <v>220</v>
      </c>
      <c r="B56" s="201" t="s">
        <v>115</v>
      </c>
      <c r="C56" s="201" t="s">
        <v>120</v>
      </c>
    </row>
    <row r="57" spans="1:3">
      <c r="A57" s="199" t="s">
        <v>220</v>
      </c>
      <c r="B57" s="238" t="s">
        <v>121</v>
      </c>
      <c r="C57" s="238" t="s">
        <v>122</v>
      </c>
    </row>
    <row r="58" spans="1:3">
      <c r="A58" s="199" t="s">
        <v>220</v>
      </c>
      <c r="B58" s="238" t="s">
        <v>121</v>
      </c>
      <c r="C58" s="238" t="s">
        <v>123</v>
      </c>
    </row>
    <row r="59" spans="1:3">
      <c r="A59" s="199" t="s">
        <v>220</v>
      </c>
      <c r="B59" s="238" t="s">
        <v>121</v>
      </c>
      <c r="C59" s="238" t="s">
        <v>124</v>
      </c>
    </row>
    <row r="60" spans="1:3">
      <c r="A60" s="199" t="s">
        <v>220</v>
      </c>
      <c r="B60" s="238" t="s">
        <v>121</v>
      </c>
      <c r="C60" s="238" t="s">
        <v>125</v>
      </c>
    </row>
    <row r="61" spans="1:3">
      <c r="A61" s="199" t="s">
        <v>220</v>
      </c>
      <c r="B61" s="238" t="s">
        <v>121</v>
      </c>
      <c r="C61" s="238" t="s">
        <v>126</v>
      </c>
    </row>
    <row r="62" spans="1:3">
      <c r="A62" s="199" t="s">
        <v>220</v>
      </c>
      <c r="B62" s="238" t="s">
        <v>121</v>
      </c>
      <c r="C62" s="238" t="s">
        <v>127</v>
      </c>
    </row>
    <row r="63" spans="1:3">
      <c r="A63" s="199" t="s">
        <v>220</v>
      </c>
      <c r="B63" s="238" t="s">
        <v>121</v>
      </c>
      <c r="C63" s="238" t="s">
        <v>128</v>
      </c>
    </row>
    <row r="64" spans="1:3">
      <c r="A64" s="199" t="s">
        <v>220</v>
      </c>
      <c r="B64" s="238" t="s">
        <v>121</v>
      </c>
      <c r="C64" s="238" t="s">
        <v>129</v>
      </c>
    </row>
    <row r="65" spans="1:3">
      <c r="A65" s="199" t="s">
        <v>220</v>
      </c>
      <c r="B65" s="238" t="s">
        <v>121</v>
      </c>
      <c r="C65" s="238" t="s">
        <v>130</v>
      </c>
    </row>
    <row r="66" spans="1:3">
      <c r="A66" s="199" t="s">
        <v>220</v>
      </c>
      <c r="B66" s="238" t="s">
        <v>121</v>
      </c>
      <c r="C66" s="238" t="s">
        <v>131</v>
      </c>
    </row>
    <row r="67" spans="1:3">
      <c r="A67" s="199" t="s">
        <v>220</v>
      </c>
      <c r="B67" s="238" t="s">
        <v>132</v>
      </c>
      <c r="C67" s="238" t="s">
        <v>133</v>
      </c>
    </row>
    <row r="68" spans="1:3">
      <c r="A68" s="199" t="s">
        <v>220</v>
      </c>
      <c r="B68" s="238" t="s">
        <v>134</v>
      </c>
      <c r="C68" s="238" t="s">
        <v>135</v>
      </c>
    </row>
    <row r="69" spans="1:3">
      <c r="A69" s="199" t="s">
        <v>220</v>
      </c>
      <c r="B69" s="238" t="s">
        <v>136</v>
      </c>
      <c r="C69" s="238" t="s">
        <v>137</v>
      </c>
    </row>
    <row r="70" spans="1:3">
      <c r="A70" s="199" t="s">
        <v>220</v>
      </c>
      <c r="B70" s="238" t="s">
        <v>136</v>
      </c>
      <c r="C70" s="238" t="s">
        <v>138</v>
      </c>
    </row>
    <row r="71" spans="1:3">
      <c r="A71" s="199" t="s">
        <v>220</v>
      </c>
      <c r="B71" s="238" t="s">
        <v>136</v>
      </c>
      <c r="C71" s="238" t="s">
        <v>139</v>
      </c>
    </row>
    <row r="72" spans="1:3">
      <c r="A72" s="199" t="s">
        <v>220</v>
      </c>
      <c r="B72" s="238" t="s">
        <v>136</v>
      </c>
      <c r="C72" s="238" t="s">
        <v>140</v>
      </c>
    </row>
    <row r="73" spans="1:3">
      <c r="A73" s="199" t="s">
        <v>220</v>
      </c>
      <c r="B73" s="238" t="s">
        <v>136</v>
      </c>
      <c r="C73" s="238" t="s">
        <v>141</v>
      </c>
    </row>
    <row r="74" spans="1:3">
      <c r="A74" s="199" t="s">
        <v>220</v>
      </c>
      <c r="B74" s="238" t="s">
        <v>136</v>
      </c>
      <c r="C74" s="238" t="s">
        <v>166</v>
      </c>
    </row>
    <row r="75" spans="1:3">
      <c r="A75" s="199" t="s">
        <v>220</v>
      </c>
      <c r="B75" s="238" t="s">
        <v>136</v>
      </c>
      <c r="C75" s="238" t="s">
        <v>142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O75"/>
  <sheetViews>
    <sheetView zoomScaleNormal="100" workbookViewId="0">
      <selection sqref="A1:C1048576"/>
    </sheetView>
  </sheetViews>
  <sheetFormatPr defaultColWidth="11.42578125" defaultRowHeight="15"/>
  <cols>
    <col min="1" max="1" width="14.140625" style="190" bestFit="1" customWidth="1"/>
    <col min="2" max="2" width="11.7109375" style="190" bestFit="1" customWidth="1"/>
    <col min="3" max="3" width="41.140625" style="190" bestFit="1" customWidth="1"/>
    <col min="4" max="4" width="2.85546875" style="190" customWidth="1"/>
    <col min="5" max="5" width="14.140625" style="190" bestFit="1" customWidth="1"/>
    <col min="6" max="6" width="8.85546875" style="190" bestFit="1" customWidth="1"/>
    <col min="7" max="7" width="39.28515625" style="190" bestFit="1" customWidth="1"/>
    <col min="8" max="8" width="2.85546875" style="190" customWidth="1"/>
    <col min="9" max="9" width="7" style="190" bestFit="1" customWidth="1"/>
    <col min="10" max="10" width="9.7109375" style="190" bestFit="1" customWidth="1"/>
    <col min="11" max="11" width="41.42578125" style="190" bestFit="1" customWidth="1"/>
    <col min="12" max="12" width="2.85546875" style="114" customWidth="1"/>
    <col min="13" max="13" width="11.7109375" style="114" bestFit="1" customWidth="1"/>
    <col min="14" max="14" width="10.7109375" style="114" bestFit="1" customWidth="1"/>
    <col min="15" max="15" width="14.28515625" style="114" bestFit="1" customWidth="1"/>
    <col min="16" max="16" width="2.85546875" style="114" customWidth="1"/>
    <col min="17" max="19" width="11.42578125" style="114" customWidth="1"/>
    <col min="20" max="16384" width="11.42578125" style="114"/>
  </cols>
  <sheetData>
    <row r="1" spans="1:15">
      <c r="A1" s="190" t="s">
        <v>217</v>
      </c>
      <c r="B1" s="190" t="s">
        <v>218</v>
      </c>
      <c r="C1" s="190" t="s">
        <v>219</v>
      </c>
      <c r="E1" s="190" t="s">
        <v>217</v>
      </c>
      <c r="F1" s="190" t="s">
        <v>218</v>
      </c>
      <c r="M1" s="114" t="s">
        <v>207</v>
      </c>
      <c r="N1" s="114" t="s">
        <v>208</v>
      </c>
      <c r="O1" s="114" t="s">
        <v>209</v>
      </c>
    </row>
    <row r="2" spans="1:15">
      <c r="A2" s="199" t="s">
        <v>220</v>
      </c>
      <c r="B2" s="200" t="s">
        <v>70</v>
      </c>
      <c r="C2" s="200" t="s">
        <v>71</v>
      </c>
      <c r="E2" s="190" t="s">
        <v>220</v>
      </c>
      <c r="F2" s="190" t="s">
        <v>70</v>
      </c>
      <c r="G2" s="200"/>
      <c r="K2" s="200"/>
      <c r="M2" s="58" t="s">
        <v>210</v>
      </c>
      <c r="N2" s="58" t="s">
        <v>211</v>
      </c>
      <c r="O2" s="58" t="s">
        <v>211</v>
      </c>
    </row>
    <row r="3" spans="1:15">
      <c r="A3" s="199" t="s">
        <v>220</v>
      </c>
      <c r="B3" s="200" t="s">
        <v>70</v>
      </c>
      <c r="C3" s="200" t="s">
        <v>157</v>
      </c>
      <c r="E3" s="190" t="s">
        <v>220</v>
      </c>
      <c r="F3" s="190" t="s">
        <v>243</v>
      </c>
      <c r="G3" s="200"/>
      <c r="K3" s="200"/>
    </row>
    <row r="4" spans="1:15">
      <c r="A4" s="199" t="s">
        <v>220</v>
      </c>
      <c r="B4" s="200" t="s">
        <v>70</v>
      </c>
      <c r="C4" s="200" t="s">
        <v>72</v>
      </c>
      <c r="E4" s="190" t="s">
        <v>220</v>
      </c>
      <c r="F4" s="190" t="s">
        <v>80</v>
      </c>
      <c r="G4" s="200"/>
      <c r="K4" s="200"/>
      <c r="M4" s="182"/>
      <c r="N4" s="182"/>
      <c r="O4" s="182"/>
    </row>
    <row r="5" spans="1:15">
      <c r="A5" s="199" t="s">
        <v>220</v>
      </c>
      <c r="B5" s="200" t="s">
        <v>70</v>
      </c>
      <c r="C5" s="200" t="s">
        <v>73</v>
      </c>
      <c r="E5" s="190" t="s">
        <v>220</v>
      </c>
      <c r="F5" s="190" t="s">
        <v>105</v>
      </c>
      <c r="G5" s="200"/>
      <c r="K5" s="200"/>
      <c r="M5" s="200"/>
    </row>
    <row r="6" spans="1:15">
      <c r="A6" s="199" t="s">
        <v>220</v>
      </c>
      <c r="B6" s="200" t="s">
        <v>70</v>
      </c>
      <c r="C6" s="200" t="s">
        <v>74</v>
      </c>
      <c r="E6" s="190" t="s">
        <v>220</v>
      </c>
      <c r="F6" s="190" t="s">
        <v>113</v>
      </c>
      <c r="G6" s="200"/>
      <c r="K6" s="200"/>
      <c r="M6" s="182"/>
    </row>
    <row r="7" spans="1:15">
      <c r="A7" s="199" t="s">
        <v>220</v>
      </c>
      <c r="B7" s="200" t="s">
        <v>70</v>
      </c>
      <c r="C7" s="200" t="s">
        <v>75</v>
      </c>
      <c r="E7" s="190" t="s">
        <v>220</v>
      </c>
      <c r="F7" s="190" t="s">
        <v>115</v>
      </c>
      <c r="G7" s="200"/>
      <c r="K7" s="200"/>
    </row>
    <row r="8" spans="1:15">
      <c r="A8" s="199" t="s">
        <v>220</v>
      </c>
      <c r="B8" s="200" t="s">
        <v>70</v>
      </c>
      <c r="C8" s="200" t="s">
        <v>158</v>
      </c>
      <c r="E8" s="190" t="s">
        <v>220</v>
      </c>
      <c r="F8" s="190" t="s">
        <v>121</v>
      </c>
      <c r="G8" s="200"/>
      <c r="K8" s="200"/>
    </row>
    <row r="9" spans="1:15">
      <c r="A9" s="199" t="s">
        <v>220</v>
      </c>
      <c r="B9" s="200" t="s">
        <v>70</v>
      </c>
      <c r="C9" s="200" t="s">
        <v>76</v>
      </c>
      <c r="E9" s="190" t="s">
        <v>220</v>
      </c>
      <c r="F9" s="190" t="s">
        <v>132</v>
      </c>
      <c r="G9" s="200"/>
      <c r="K9" s="200"/>
    </row>
    <row r="10" spans="1:15">
      <c r="A10" s="199" t="s">
        <v>220</v>
      </c>
      <c r="B10" s="201" t="s">
        <v>77</v>
      </c>
      <c r="C10" s="201" t="s">
        <v>78</v>
      </c>
      <c r="E10" s="190" t="s">
        <v>220</v>
      </c>
      <c r="F10" s="190" t="s">
        <v>134</v>
      </c>
      <c r="G10" s="200"/>
      <c r="K10" s="200"/>
    </row>
    <row r="11" spans="1:15">
      <c r="A11" s="199" t="s">
        <v>220</v>
      </c>
      <c r="B11" s="201" t="s">
        <v>77</v>
      </c>
      <c r="C11" s="201" t="s">
        <v>79</v>
      </c>
      <c r="E11" s="190" t="s">
        <v>220</v>
      </c>
      <c r="F11" s="190" t="s">
        <v>136</v>
      </c>
      <c r="G11" s="200"/>
      <c r="K11" s="200"/>
    </row>
    <row r="12" spans="1:15">
      <c r="A12" s="199" t="s">
        <v>220</v>
      </c>
      <c r="B12" s="200" t="s">
        <v>80</v>
      </c>
      <c r="C12" s="200" t="s">
        <v>81</v>
      </c>
      <c r="K12" s="200"/>
    </row>
    <row r="13" spans="1:15">
      <c r="A13" s="199" t="s">
        <v>220</v>
      </c>
      <c r="B13" s="200" t="s">
        <v>80</v>
      </c>
      <c r="C13" s="200" t="s">
        <v>159</v>
      </c>
      <c r="K13" s="200"/>
    </row>
    <row r="14" spans="1:15">
      <c r="A14" s="199" t="s">
        <v>220</v>
      </c>
      <c r="B14" s="200" t="s">
        <v>80</v>
      </c>
      <c r="C14" s="200" t="s">
        <v>82</v>
      </c>
      <c r="K14" s="200"/>
      <c r="N14" s="41"/>
    </row>
    <row r="15" spans="1:15">
      <c r="A15" s="199" t="s">
        <v>220</v>
      </c>
      <c r="B15" s="200" t="s">
        <v>80</v>
      </c>
      <c r="C15" s="200" t="s">
        <v>83</v>
      </c>
      <c r="K15" s="200"/>
    </row>
    <row r="16" spans="1:15">
      <c r="A16" s="199" t="s">
        <v>220</v>
      </c>
      <c r="B16" s="200" t="s">
        <v>80</v>
      </c>
      <c r="C16" s="200" t="s">
        <v>84</v>
      </c>
      <c r="H16" s="202"/>
      <c r="K16" s="200"/>
    </row>
    <row r="17" spans="1:11">
      <c r="A17" s="199" t="s">
        <v>220</v>
      </c>
      <c r="B17" s="200" t="s">
        <v>80</v>
      </c>
      <c r="C17" s="200" t="s">
        <v>85</v>
      </c>
      <c r="H17" s="202"/>
      <c r="K17" s="200"/>
    </row>
    <row r="18" spans="1:11">
      <c r="A18" s="199" t="s">
        <v>220</v>
      </c>
      <c r="B18" s="200" t="s">
        <v>80</v>
      </c>
      <c r="C18" s="200" t="s">
        <v>86</v>
      </c>
      <c r="H18" s="202"/>
      <c r="K18" s="200"/>
    </row>
    <row r="19" spans="1:11">
      <c r="A19" s="199" t="s">
        <v>220</v>
      </c>
      <c r="B19" s="200" t="s">
        <v>80</v>
      </c>
      <c r="C19" s="200" t="s">
        <v>160</v>
      </c>
      <c r="H19" s="202"/>
      <c r="K19" s="200"/>
    </row>
    <row r="20" spans="1:11">
      <c r="A20" s="199" t="s">
        <v>220</v>
      </c>
      <c r="B20" s="200" t="s">
        <v>80</v>
      </c>
      <c r="C20" s="200" t="s">
        <v>87</v>
      </c>
      <c r="H20" s="202"/>
      <c r="K20" s="200"/>
    </row>
    <row r="21" spans="1:11">
      <c r="A21" s="199" t="s">
        <v>220</v>
      </c>
      <c r="B21" s="200" t="s">
        <v>80</v>
      </c>
      <c r="C21" s="200" t="s">
        <v>88</v>
      </c>
      <c r="H21" s="202"/>
      <c r="K21" s="200"/>
    </row>
    <row r="22" spans="1:11">
      <c r="A22" s="199" t="s">
        <v>220</v>
      </c>
      <c r="B22" s="200" t="s">
        <v>80</v>
      </c>
      <c r="C22" s="200" t="s">
        <v>89</v>
      </c>
      <c r="H22" s="202"/>
      <c r="K22" s="200"/>
    </row>
    <row r="23" spans="1:11">
      <c r="A23" s="199" t="s">
        <v>220</v>
      </c>
      <c r="B23" s="200" t="s">
        <v>80</v>
      </c>
      <c r="C23" s="200" t="s">
        <v>90</v>
      </c>
      <c r="H23" s="202"/>
      <c r="K23" s="200"/>
    </row>
    <row r="24" spans="1:11">
      <c r="A24" s="199" t="s">
        <v>220</v>
      </c>
      <c r="B24" s="200" t="s">
        <v>80</v>
      </c>
      <c r="C24" s="200" t="s">
        <v>91</v>
      </c>
      <c r="H24" s="202"/>
      <c r="K24" s="200"/>
    </row>
    <row r="25" spans="1:11">
      <c r="A25" s="199" t="s">
        <v>220</v>
      </c>
      <c r="B25" s="200" t="s">
        <v>80</v>
      </c>
      <c r="C25" s="200" t="s">
        <v>92</v>
      </c>
      <c r="H25" s="202"/>
      <c r="K25" s="200"/>
    </row>
    <row r="26" spans="1:11">
      <c r="A26" s="199" t="s">
        <v>220</v>
      </c>
      <c r="B26" s="200" t="s">
        <v>80</v>
      </c>
      <c r="C26" s="200" t="s">
        <v>93</v>
      </c>
      <c r="K26" s="200"/>
    </row>
    <row r="27" spans="1:11">
      <c r="A27" s="199" t="s">
        <v>220</v>
      </c>
      <c r="B27" s="200" t="s">
        <v>80</v>
      </c>
      <c r="C27" s="200" t="s">
        <v>161</v>
      </c>
      <c r="K27" s="200"/>
    </row>
    <row r="28" spans="1:11">
      <c r="A28" s="199" t="s">
        <v>220</v>
      </c>
      <c r="B28" s="200" t="s">
        <v>80</v>
      </c>
      <c r="C28" s="200" t="s">
        <v>162</v>
      </c>
      <c r="K28" s="200"/>
    </row>
    <row r="29" spans="1:11">
      <c r="A29" s="199" t="s">
        <v>220</v>
      </c>
      <c r="B29" s="200" t="s">
        <v>80</v>
      </c>
      <c r="C29" s="200" t="s">
        <v>94</v>
      </c>
      <c r="K29" s="200"/>
    </row>
    <row r="30" spans="1:11">
      <c r="A30" s="199" t="s">
        <v>220</v>
      </c>
      <c r="B30" s="200" t="s">
        <v>80</v>
      </c>
      <c r="C30" s="200" t="s">
        <v>95</v>
      </c>
      <c r="K30" s="200"/>
    </row>
    <row r="31" spans="1:11">
      <c r="A31" s="199" t="s">
        <v>220</v>
      </c>
      <c r="B31" s="200" t="s">
        <v>80</v>
      </c>
      <c r="C31" s="200" t="s">
        <v>96</v>
      </c>
      <c r="K31" s="200"/>
    </row>
    <row r="32" spans="1:11">
      <c r="A32" s="199" t="s">
        <v>220</v>
      </c>
      <c r="B32" s="200" t="s">
        <v>80</v>
      </c>
      <c r="C32" s="200" t="s">
        <v>97</v>
      </c>
    </row>
    <row r="33" spans="1:7">
      <c r="A33" s="199" t="s">
        <v>220</v>
      </c>
      <c r="B33" s="200" t="s">
        <v>80</v>
      </c>
      <c r="C33" s="200" t="s">
        <v>98</v>
      </c>
    </row>
    <row r="34" spans="1:7">
      <c r="A34" s="199" t="s">
        <v>220</v>
      </c>
      <c r="B34" s="200" t="s">
        <v>80</v>
      </c>
      <c r="C34" s="200" t="s">
        <v>99</v>
      </c>
      <c r="G34" s="2"/>
    </row>
    <row r="35" spans="1:7">
      <c r="A35" s="199" t="s">
        <v>220</v>
      </c>
      <c r="B35" s="200" t="s">
        <v>80</v>
      </c>
      <c r="C35" s="200" t="s">
        <v>100</v>
      </c>
      <c r="G35" s="2"/>
    </row>
    <row r="36" spans="1:7">
      <c r="A36" s="199" t="s">
        <v>220</v>
      </c>
      <c r="B36" s="200" t="s">
        <v>80</v>
      </c>
      <c r="C36" s="200" t="s">
        <v>101</v>
      </c>
      <c r="G36" s="2"/>
    </row>
    <row r="37" spans="1:7">
      <c r="A37" s="199" t="s">
        <v>220</v>
      </c>
      <c r="B37" s="200" t="s">
        <v>80</v>
      </c>
      <c r="C37" s="200" t="s">
        <v>163</v>
      </c>
      <c r="G37" s="2"/>
    </row>
    <row r="38" spans="1:7">
      <c r="A38" s="199" t="s">
        <v>220</v>
      </c>
      <c r="B38" s="200" t="s">
        <v>80</v>
      </c>
      <c r="C38" s="200" t="s">
        <v>102</v>
      </c>
      <c r="G38" s="2"/>
    </row>
    <row r="39" spans="1:7">
      <c r="A39" s="199" t="s">
        <v>220</v>
      </c>
      <c r="B39" s="200" t="s">
        <v>80</v>
      </c>
      <c r="C39" s="200" t="s">
        <v>103</v>
      </c>
    </row>
    <row r="40" spans="1:7">
      <c r="A40" s="199" t="s">
        <v>220</v>
      </c>
      <c r="B40" s="200" t="s">
        <v>80</v>
      </c>
      <c r="C40" s="200" t="s">
        <v>104</v>
      </c>
    </row>
    <row r="41" spans="1:7">
      <c r="A41" s="199" t="s">
        <v>220</v>
      </c>
      <c r="B41" s="200" t="s">
        <v>80</v>
      </c>
      <c r="C41" s="200" t="s">
        <v>164</v>
      </c>
    </row>
    <row r="42" spans="1:7">
      <c r="A42" s="199" t="s">
        <v>220</v>
      </c>
      <c r="B42" s="200" t="s">
        <v>105</v>
      </c>
      <c r="C42" s="200" t="s">
        <v>106</v>
      </c>
    </row>
    <row r="43" spans="1:7">
      <c r="A43" s="199" t="s">
        <v>220</v>
      </c>
      <c r="B43" s="200" t="s">
        <v>105</v>
      </c>
      <c r="C43" s="200" t="s">
        <v>107</v>
      </c>
    </row>
    <row r="44" spans="1:7">
      <c r="A44" s="199" t="s">
        <v>220</v>
      </c>
      <c r="B44" s="200" t="s">
        <v>105</v>
      </c>
      <c r="C44" s="200" t="s">
        <v>108</v>
      </c>
    </row>
    <row r="45" spans="1:7">
      <c r="A45" s="199" t="s">
        <v>220</v>
      </c>
      <c r="B45" s="200" t="s">
        <v>105</v>
      </c>
      <c r="C45" s="200" t="s">
        <v>109</v>
      </c>
    </row>
    <row r="46" spans="1:7">
      <c r="A46" s="199" t="s">
        <v>220</v>
      </c>
      <c r="B46" s="200" t="s">
        <v>105</v>
      </c>
      <c r="C46" s="200" t="s">
        <v>110</v>
      </c>
    </row>
    <row r="47" spans="1:7">
      <c r="A47" s="199" t="s">
        <v>220</v>
      </c>
      <c r="B47" s="200" t="s">
        <v>105</v>
      </c>
      <c r="C47" s="200" t="s">
        <v>111</v>
      </c>
    </row>
    <row r="48" spans="1:7">
      <c r="A48" s="199" t="s">
        <v>220</v>
      </c>
      <c r="B48" s="200" t="s">
        <v>105</v>
      </c>
      <c r="C48" s="200" t="s">
        <v>112</v>
      </c>
    </row>
    <row r="49" spans="1:3">
      <c r="A49" s="199" t="s">
        <v>220</v>
      </c>
      <c r="B49" s="200" t="s">
        <v>113</v>
      </c>
      <c r="C49" s="200" t="s">
        <v>114</v>
      </c>
    </row>
    <row r="50" spans="1:3">
      <c r="A50" s="199" t="s">
        <v>220</v>
      </c>
      <c r="B50" s="201" t="s">
        <v>115</v>
      </c>
      <c r="C50" s="201" t="s">
        <v>165</v>
      </c>
    </row>
    <row r="51" spans="1:3">
      <c r="A51" s="199" t="s">
        <v>220</v>
      </c>
      <c r="B51" s="201" t="s">
        <v>115</v>
      </c>
      <c r="C51" s="201" t="s">
        <v>116</v>
      </c>
    </row>
    <row r="52" spans="1:3">
      <c r="A52" s="199" t="s">
        <v>220</v>
      </c>
      <c r="B52" s="201" t="s">
        <v>115</v>
      </c>
      <c r="C52" s="201" t="s">
        <v>117</v>
      </c>
    </row>
    <row r="53" spans="1:3">
      <c r="A53" s="199" t="s">
        <v>220</v>
      </c>
      <c r="B53" s="201" t="s">
        <v>115</v>
      </c>
      <c r="C53" s="201" t="s">
        <v>212</v>
      </c>
    </row>
    <row r="54" spans="1:3">
      <c r="A54" s="199" t="s">
        <v>220</v>
      </c>
      <c r="B54" s="201" t="s">
        <v>115</v>
      </c>
      <c r="C54" s="201" t="s">
        <v>118</v>
      </c>
    </row>
    <row r="55" spans="1:3">
      <c r="A55" s="199" t="s">
        <v>220</v>
      </c>
      <c r="B55" s="201" t="s">
        <v>115</v>
      </c>
      <c r="C55" s="201" t="s">
        <v>119</v>
      </c>
    </row>
    <row r="56" spans="1:3">
      <c r="A56" s="199" t="s">
        <v>220</v>
      </c>
      <c r="B56" s="201" t="s">
        <v>115</v>
      </c>
      <c r="C56" s="201" t="s">
        <v>120</v>
      </c>
    </row>
    <row r="57" spans="1:3">
      <c r="A57" s="199" t="s">
        <v>220</v>
      </c>
      <c r="B57" s="200" t="s">
        <v>121</v>
      </c>
      <c r="C57" s="200" t="s">
        <v>122</v>
      </c>
    </row>
    <row r="58" spans="1:3">
      <c r="A58" s="199" t="s">
        <v>220</v>
      </c>
      <c r="B58" s="200" t="s">
        <v>121</v>
      </c>
      <c r="C58" s="200" t="s">
        <v>123</v>
      </c>
    </row>
    <row r="59" spans="1:3">
      <c r="A59" s="199" t="s">
        <v>220</v>
      </c>
      <c r="B59" s="200" t="s">
        <v>121</v>
      </c>
      <c r="C59" s="200" t="s">
        <v>124</v>
      </c>
    </row>
    <row r="60" spans="1:3">
      <c r="A60" s="199" t="s">
        <v>220</v>
      </c>
      <c r="B60" s="200" t="s">
        <v>121</v>
      </c>
      <c r="C60" s="200" t="s">
        <v>125</v>
      </c>
    </row>
    <row r="61" spans="1:3">
      <c r="A61" s="199" t="s">
        <v>220</v>
      </c>
      <c r="B61" s="200" t="s">
        <v>121</v>
      </c>
      <c r="C61" s="200" t="s">
        <v>126</v>
      </c>
    </row>
    <row r="62" spans="1:3">
      <c r="A62" s="199" t="s">
        <v>220</v>
      </c>
      <c r="B62" s="200" t="s">
        <v>121</v>
      </c>
      <c r="C62" s="200" t="s">
        <v>127</v>
      </c>
    </row>
    <row r="63" spans="1:3">
      <c r="A63" s="199" t="s">
        <v>220</v>
      </c>
      <c r="B63" s="200" t="s">
        <v>121</v>
      </c>
      <c r="C63" s="200" t="s">
        <v>128</v>
      </c>
    </row>
    <row r="64" spans="1:3">
      <c r="A64" s="199" t="s">
        <v>220</v>
      </c>
      <c r="B64" s="200" t="s">
        <v>121</v>
      </c>
      <c r="C64" s="200" t="s">
        <v>129</v>
      </c>
    </row>
    <row r="65" spans="1:3">
      <c r="A65" s="199" t="s">
        <v>220</v>
      </c>
      <c r="B65" s="200" t="s">
        <v>121</v>
      </c>
      <c r="C65" s="200" t="s">
        <v>130</v>
      </c>
    </row>
    <row r="66" spans="1:3">
      <c r="A66" s="199" t="s">
        <v>220</v>
      </c>
      <c r="B66" s="200" t="s">
        <v>121</v>
      </c>
      <c r="C66" s="200" t="s">
        <v>131</v>
      </c>
    </row>
    <row r="67" spans="1:3">
      <c r="A67" s="199" t="s">
        <v>220</v>
      </c>
      <c r="B67" s="200" t="s">
        <v>132</v>
      </c>
      <c r="C67" s="200" t="s">
        <v>133</v>
      </c>
    </row>
    <row r="68" spans="1:3">
      <c r="A68" s="199" t="s">
        <v>220</v>
      </c>
      <c r="B68" s="200" t="s">
        <v>134</v>
      </c>
      <c r="C68" s="200" t="s">
        <v>135</v>
      </c>
    </row>
    <row r="69" spans="1:3">
      <c r="A69" s="199" t="s">
        <v>220</v>
      </c>
      <c r="B69" s="200" t="s">
        <v>136</v>
      </c>
      <c r="C69" s="200" t="s">
        <v>137</v>
      </c>
    </row>
    <row r="70" spans="1:3">
      <c r="A70" s="199" t="s">
        <v>220</v>
      </c>
      <c r="B70" s="200" t="s">
        <v>136</v>
      </c>
      <c r="C70" s="200" t="s">
        <v>138</v>
      </c>
    </row>
    <row r="71" spans="1:3">
      <c r="A71" s="199" t="s">
        <v>220</v>
      </c>
      <c r="B71" s="200" t="s">
        <v>136</v>
      </c>
      <c r="C71" s="200" t="s">
        <v>139</v>
      </c>
    </row>
    <row r="72" spans="1:3">
      <c r="A72" s="199" t="s">
        <v>220</v>
      </c>
      <c r="B72" s="200" t="s">
        <v>136</v>
      </c>
      <c r="C72" s="200" t="s">
        <v>140</v>
      </c>
    </row>
    <row r="73" spans="1:3">
      <c r="A73" s="199" t="s">
        <v>220</v>
      </c>
      <c r="B73" s="200" t="s">
        <v>136</v>
      </c>
      <c r="C73" s="200" t="s">
        <v>141</v>
      </c>
    </row>
    <row r="74" spans="1:3">
      <c r="A74" s="199" t="s">
        <v>220</v>
      </c>
      <c r="B74" s="200" t="s">
        <v>136</v>
      </c>
      <c r="C74" s="200" t="s">
        <v>166</v>
      </c>
    </row>
    <row r="75" spans="1:3">
      <c r="A75" s="199" t="s">
        <v>220</v>
      </c>
      <c r="B75" s="200" t="s">
        <v>136</v>
      </c>
      <c r="C75" s="200" t="s">
        <v>142</v>
      </c>
    </row>
  </sheetData>
  <sortState ref="A2:C14">
    <sortCondition ref="A1:A1048547"/>
  </sortState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3" sqref="A3"/>
    </sheetView>
  </sheetViews>
  <sheetFormatPr defaultColWidth="11.42578125" defaultRowHeight="15"/>
  <cols>
    <col min="1" max="1" width="19.5703125" style="114" bestFit="1" customWidth="1"/>
    <col min="2" max="2" width="50.42578125" style="114" bestFit="1" customWidth="1"/>
    <col min="3" max="3" width="16.42578125" style="114" bestFit="1" customWidth="1"/>
    <col min="4" max="6" width="11.42578125" style="114" customWidth="1"/>
    <col min="7" max="16384" width="11.42578125" style="114"/>
  </cols>
  <sheetData>
    <row r="1" spans="1:7">
      <c r="A1" s="114" t="s">
        <v>213</v>
      </c>
      <c r="B1" s="114" t="s">
        <v>214</v>
      </c>
      <c r="C1" s="114" t="s">
        <v>181</v>
      </c>
    </row>
    <row r="2" spans="1:7">
      <c r="A2" s="114" t="s">
        <v>8</v>
      </c>
      <c r="B2" s="114" t="s">
        <v>8</v>
      </c>
      <c r="C2" s="114" t="s">
        <v>215</v>
      </c>
    </row>
    <row r="4" spans="1:7">
      <c r="G4" s="38"/>
    </row>
    <row r="416" spans="1:3">
      <c r="A416" s="183"/>
      <c r="B416" s="183"/>
      <c r="C416" s="183"/>
    </row>
    <row r="438" spans="1:3">
      <c r="A438" s="183"/>
      <c r="B438" s="183"/>
      <c r="C438" s="183"/>
    </row>
    <row r="441" spans="1:3">
      <c r="A441" s="183"/>
      <c r="B441" s="183"/>
      <c r="C441" s="183"/>
    </row>
    <row r="456" spans="1:3">
      <c r="A456" s="183"/>
      <c r="B456" s="183"/>
      <c r="C456" s="183"/>
    </row>
    <row r="478" spans="1:3">
      <c r="A478" s="183"/>
      <c r="B478" s="183"/>
      <c r="C478" s="183"/>
    </row>
    <row r="481" spans="1:3">
      <c r="A481" s="183"/>
      <c r="B481" s="183"/>
      <c r="C481" s="183"/>
    </row>
    <row r="494" spans="1:3">
      <c r="A494" s="53"/>
      <c r="B494" s="53"/>
      <c r="C494" s="53"/>
    </row>
    <row r="495" spans="1:3">
      <c r="A495" s="53"/>
      <c r="B495" s="53"/>
      <c r="C495" s="53"/>
    </row>
    <row r="496" spans="1:3">
      <c r="A496" s="53"/>
      <c r="B496" s="53"/>
      <c r="C496" s="53"/>
    </row>
    <row r="497" spans="1:3">
      <c r="A497" s="53"/>
      <c r="B497" s="53"/>
      <c r="C497" s="53"/>
    </row>
    <row r="498" spans="1:3">
      <c r="A498" s="53"/>
      <c r="B498" s="53"/>
      <c r="C498" s="53"/>
    </row>
    <row r="499" spans="1:3">
      <c r="A499" s="53"/>
      <c r="B499" s="53"/>
      <c r="C499" s="53"/>
    </row>
    <row r="500" spans="1:3">
      <c r="A500" s="53"/>
      <c r="B500" s="53"/>
      <c r="C500" s="53"/>
    </row>
    <row r="501" spans="1:3">
      <c r="A501" s="53"/>
      <c r="B501" s="53"/>
      <c r="C501" s="53"/>
    </row>
    <row r="502" spans="1:3">
      <c r="A502" s="53"/>
      <c r="B502" s="53"/>
      <c r="C502" s="53"/>
    </row>
    <row r="503" spans="1:3">
      <c r="A503" s="53"/>
      <c r="B503" s="53"/>
      <c r="C503" s="53"/>
    </row>
    <row r="504" spans="1:3">
      <c r="A504" s="183"/>
      <c r="B504" s="183"/>
      <c r="C504" s="183"/>
    </row>
    <row r="505" spans="1:3">
      <c r="A505" s="183"/>
      <c r="B505" s="183"/>
      <c r="C505" s="183"/>
    </row>
    <row r="506" spans="1:3">
      <c r="A506" s="183"/>
      <c r="B506" s="183"/>
      <c r="C506" s="183"/>
    </row>
    <row r="507" spans="1:3">
      <c r="A507" s="183"/>
      <c r="B507" s="183"/>
      <c r="C507" s="183"/>
    </row>
    <row r="508" spans="1:3">
      <c r="A508" s="183"/>
      <c r="B508" s="183"/>
      <c r="C508" s="183"/>
    </row>
    <row r="509" spans="1:3">
      <c r="A509" s="183"/>
      <c r="B509" s="183"/>
      <c r="C509" s="183"/>
    </row>
    <row r="512" spans="1:3">
      <c r="C512" s="18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0"/>
  </sheetPr>
  <dimension ref="A1:E1"/>
  <sheetViews>
    <sheetView workbookViewId="0">
      <selection sqref="A1:XFD2"/>
    </sheetView>
  </sheetViews>
  <sheetFormatPr defaultColWidth="11.42578125" defaultRowHeight="15"/>
  <cols>
    <col min="1" max="1" width="21.85546875" style="203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203" t="s">
        <v>167</v>
      </c>
      <c r="B1" t="s">
        <v>168</v>
      </c>
      <c r="C1" t="s">
        <v>169</v>
      </c>
      <c r="D1" t="s">
        <v>170</v>
      </c>
      <c r="E1" t="s">
        <v>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AUTRE</vt:lpstr>
      <vt:lpstr>CURE</vt:lpstr>
      <vt:lpstr>DENTA</vt:lpstr>
      <vt:lpstr>HOSPI</vt:lpstr>
      <vt:lpstr>MATER</vt:lpstr>
      <vt:lpstr>NON D</vt:lpstr>
      <vt:lpstr>OPTIQ</vt:lpstr>
      <vt:lpstr>PHARM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  <vt:lpstr>Erreurs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2021-04-18T12:33:59Z</cp:lastPrinted>
  <dcterms:created xsi:type="dcterms:W3CDTF">2017-05-24T08:26:58Z</dcterms:created>
  <dcterms:modified xsi:type="dcterms:W3CDTF">2021-05-14T13:49:41Z</dcterms:modified>
</cp:coreProperties>
</file>