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theme/themeOverride6.xml" ContentType="application/vnd.openxmlformats-officedocument.themeOverrid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theme/themeOverride7.xml" ContentType="application/vnd.openxmlformats-officedocument.themeOverrid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theme/themeOverride8.xml" ContentType="application/vnd.openxmlformats-officedocument.themeOverride+xml"/>
  <Override PartName="/xl/drawings/drawing1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_ROBERT\_DEV\PROJECTS\DOT-NET\CompteResultat\CompteResultat-Kerialis\CompteResultat\App_Data\ReportTemplates\"/>
    </mc:Choice>
  </mc:AlternateContent>
  <bookViews>
    <workbookView xWindow="0" yWindow="60" windowWidth="22800" windowHeight="6270" firstSheet="11" activeTab="15"/>
  </bookViews>
  <sheets>
    <sheet name="Page de garde" sheetId="13" r:id="rId1"/>
    <sheet name="Résultats" sheetId="14" r:id="rId2"/>
    <sheet name="Evolution effectifs" sheetId="16" r:id="rId3"/>
    <sheet name="Démographie" sheetId="18" r:id="rId4"/>
    <sheet name="Prestations Réglées" sheetId="21" r:id="rId5"/>
    <sheet name="Prestations Réglées N et N-1" sheetId="29" r:id="rId6"/>
    <sheet name="Prestations Réglées Graph" sheetId="31" r:id="rId7"/>
    <sheet name="Quartil consultation spécialist" sheetId="23" r:id="rId8"/>
    <sheet name="Focus Optique" sheetId="24" r:id="rId9"/>
    <sheet name="Focus Réseau de soins" sheetId="27" r:id="rId10"/>
    <sheet name="Focus Réseau de soins Graph" sheetId="32" r:id="rId11"/>
    <sheet name="Quartil monture" sheetId="22" r:id="rId12"/>
    <sheet name="Focus Dentaire" sheetId="25" r:id="rId13"/>
    <sheet name="Quartil prothèse dentaire" sheetId="12" r:id="rId14"/>
    <sheet name="DATA DEMO" sheetId="4" r:id="rId15"/>
    <sheet name="DATA COT" sheetId="5" r:id="rId16"/>
    <sheet name="DATA PREST" sheetId="6" r:id="rId17"/>
    <sheet name="DATA EXP" sheetId="7" r:id="rId18"/>
    <sheet name="DATA PROV" sheetId="8" r:id="rId19"/>
    <sheet name="DATA QUARTILE" sheetId="9" r:id="rId20"/>
    <sheet name="AFFICHAGE" sheetId="10" r:id="rId21"/>
    <sheet name="COLLEGE" sheetId="26" r:id="rId22"/>
  </sheets>
  <definedNames>
    <definedName name="_xlnm._FilterDatabase" localSheetId="17" hidden="1">'DATA EXP'!$A$1:$Q$1</definedName>
    <definedName name="_xlnm._FilterDatabase" localSheetId="16" hidden="1">'DATA PREST'!$A$1:$R$1</definedName>
  </definedNames>
  <calcPr calcId="152511"/>
</workbook>
</file>

<file path=xl/calcChain.xml><?xml version="1.0" encoding="utf-8"?>
<calcChain xmlns="http://schemas.openxmlformats.org/spreadsheetml/2006/main">
  <c r="J27" i="12" l="1"/>
  <c r="J26" i="12"/>
  <c r="J25" i="12"/>
  <c r="J24" i="12"/>
  <c r="J23" i="12"/>
  <c r="K22" i="12"/>
  <c r="K23" i="12" s="1"/>
  <c r="K24" i="12" s="1"/>
  <c r="K25" i="12" s="1"/>
  <c r="K26" i="12" s="1"/>
  <c r="K27" i="12" s="1"/>
  <c r="J22" i="12"/>
  <c r="C8" i="12"/>
  <c r="D8" i="25"/>
  <c r="L31" i="22"/>
  <c r="F31" i="22"/>
  <c r="L30" i="22"/>
  <c r="F30" i="22"/>
  <c r="L29" i="22"/>
  <c r="F29" i="22"/>
  <c r="L28" i="22"/>
  <c r="F28" i="22"/>
  <c r="L27" i="22"/>
  <c r="F27" i="22"/>
  <c r="M26" i="22"/>
  <c r="M27" i="22" s="1"/>
  <c r="M28" i="22" s="1"/>
  <c r="M29" i="22" s="1"/>
  <c r="M30" i="22" s="1"/>
  <c r="M31" i="22" s="1"/>
  <c r="L26" i="22"/>
  <c r="G26" i="22"/>
  <c r="G27" i="22" s="1"/>
  <c r="G28" i="22" s="1"/>
  <c r="G29" i="22" s="1"/>
  <c r="G30" i="22" s="1"/>
  <c r="G31" i="22" s="1"/>
  <c r="F26" i="22"/>
  <c r="C8" i="22"/>
  <c r="C8" i="32"/>
  <c r="C8" i="27"/>
  <c r="C8" i="24"/>
  <c r="K29" i="23"/>
  <c r="K28" i="23"/>
  <c r="K27" i="23"/>
  <c r="K26" i="23"/>
  <c r="K25" i="23"/>
  <c r="L24" i="23"/>
  <c r="L25" i="23" s="1"/>
  <c r="L26" i="23" s="1"/>
  <c r="L27" i="23" s="1"/>
  <c r="L28" i="23" s="1"/>
  <c r="L29" i="23" s="1"/>
  <c r="K24" i="23"/>
  <c r="C8" i="23"/>
  <c r="C8" i="31"/>
  <c r="C8" i="29"/>
  <c r="C8" i="21"/>
  <c r="E42" i="18"/>
  <c r="C8" i="18"/>
  <c r="C8" i="16"/>
  <c r="E13" i="14"/>
  <c r="C8" i="14"/>
</calcChain>
</file>

<file path=xl/sharedStrings.xml><?xml version="1.0" encoding="utf-8"?>
<sst xmlns="http://schemas.openxmlformats.org/spreadsheetml/2006/main" count="472" uniqueCount="245">
  <si>
    <t>Remboursement KERIALIS N-1</t>
  </si>
  <si>
    <t>Remboursement KERIALIS N</t>
  </si>
  <si>
    <t>Variation N/N-1</t>
  </si>
  <si>
    <t>Total général</t>
  </si>
  <si>
    <t>Effectif total</t>
  </si>
  <si>
    <t>Salariés</t>
  </si>
  <si>
    <t>Conjoints, Enfants</t>
  </si>
  <si>
    <t xml:space="preserve">Date d'arrêté : </t>
  </si>
  <si>
    <t>Prestations</t>
  </si>
  <si>
    <t>Provisions</t>
  </si>
  <si>
    <t>Cotisations brutes</t>
  </si>
  <si>
    <t>Taux de chargements</t>
  </si>
  <si>
    <t xml:space="preserve">Cotisations nettes </t>
  </si>
  <si>
    <t>Ratio</t>
  </si>
  <si>
    <t>GLOBAL</t>
  </si>
  <si>
    <t>"ACTIFS"</t>
  </si>
  <si>
    <t>"PERIPHERIQUES"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</si>
  <si>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</si>
  <si>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</si>
  <si>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</si>
  <si>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>
      <t>§</t>
    </r>
    <r>
      <rPr>
        <sz val="14"/>
        <rFont val="Arial"/>
        <family val="2"/>
      </rPr>
      <t xml:space="preserve"> </t>
    </r>
    <r>
      <rPr>
        <sz val="14"/>
        <rFont val="DINBek"/>
      </rPr>
      <t>Effectifs par société</t>
    </r>
  </si>
  <si>
    <t>ACTIFS (y compris portabilité)</t>
  </si>
  <si>
    <t>PERIPHERIQUES</t>
  </si>
  <si>
    <t>Effectif N-1</t>
  </si>
  <si>
    <t>Effectif N</t>
  </si>
  <si>
    <t>Evolution</t>
  </si>
  <si>
    <t>Répartition</t>
  </si>
  <si>
    <t>assuré</t>
  </si>
  <si>
    <t>conjoint</t>
  </si>
  <si>
    <t>enfant</t>
  </si>
  <si>
    <r>
      <t>§</t>
    </r>
    <r>
      <rPr>
        <sz val="12"/>
        <rFont val="Arial"/>
        <family val="2"/>
      </rPr>
      <t xml:space="preserve"> </t>
    </r>
    <r>
      <rPr>
        <sz val="12"/>
        <rFont val="DINBek"/>
      </rPr>
      <t>Nombre d'assurés</t>
    </r>
  </si>
  <si>
    <r>
      <rPr>
        <sz val="12"/>
        <rFont val="Wingdings"/>
        <charset val="2"/>
      </rPr>
      <t>§</t>
    </r>
    <r>
      <rPr>
        <sz val="12"/>
        <rFont val="DINBek"/>
      </rPr>
      <t xml:space="preserve"> Pyramide des âges des assurés</t>
    </r>
  </si>
  <si>
    <t>Effectif 
N-1</t>
  </si>
  <si>
    <t>Age Moyen N-1</t>
  </si>
  <si>
    <t>Age Moyen N</t>
  </si>
  <si>
    <t xml:space="preserve">Evolution des Effectifs 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</si>
  <si>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</si>
  <si>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</si>
  <si>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</si>
  <si>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</si>
  <si>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</si>
  <si>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</si>
  <si>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</si>
  <si>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</si>
  <si>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</si>
  <si>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</si>
  <si>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</si>
  <si>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</si>
  <si>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bénéficiaires</t>
    </r>
  </si>
  <si>
    <t>Effectif</t>
  </si>
  <si>
    <t>Age Moyen</t>
  </si>
  <si>
    <t>Assuré</t>
  </si>
  <si>
    <t>Conjoint</t>
  </si>
  <si>
    <t>Enfant</t>
  </si>
  <si>
    <t>Coefficient Familial</t>
  </si>
  <si>
    <t>(actifs y compris portabilité)</t>
  </si>
  <si>
    <t>MAJ EXCEL</t>
  </si>
  <si>
    <t>MAJ POWERPOINT</t>
  </si>
  <si>
    <t>NON</t>
  </si>
  <si>
    <t>STATISTIQUES</t>
  </si>
  <si>
    <t>FRAIS DE SANTE</t>
  </si>
  <si>
    <t>Contrat(s)</t>
  </si>
  <si>
    <t/>
  </si>
  <si>
    <t>Collège</t>
  </si>
  <si>
    <t xml:space="preserve">Période analysée : </t>
  </si>
  <si>
    <t>Date d'arreté des comptes :</t>
  </si>
  <si>
    <t>Code collège</t>
  </si>
  <si>
    <t>Libellé collège</t>
  </si>
  <si>
    <t>FAMILLE COLLEGE</t>
  </si>
  <si>
    <t>ACTIFS</t>
  </si>
  <si>
    <t>ORDRE</t>
  </si>
  <si>
    <t>FAMILLE</t>
  </si>
  <si>
    <t>ACTE</t>
  </si>
  <si>
    <t>DATE DEBUT</t>
  </si>
  <si>
    <t>DATE FIN</t>
  </si>
  <si>
    <t>DATE D'ARRETE</t>
  </si>
  <si>
    <t>Taxe</t>
  </si>
  <si>
    <t>Taux Actifs</t>
  </si>
  <si>
    <t>Taux Périphériques</t>
  </si>
  <si>
    <t>HOSPITALISATION</t>
  </si>
  <si>
    <t>FRAIS DE SEJOUR</t>
  </si>
  <si>
    <t>OPTIQUE</t>
  </si>
  <si>
    <t>CHIRURGIE DE L'ŒIL</t>
  </si>
  <si>
    <t>DENTAIRE</t>
  </si>
  <si>
    <t>SOINS DENTAIRES</t>
  </si>
  <si>
    <t>HONORAIRES</t>
  </si>
  <si>
    <t>LENTILLES</t>
  </si>
  <si>
    <t>PROTHESES DENTAIRES ACCEPTEES</t>
  </si>
  <si>
    <t>FORFAIT JOURNALIER</t>
  </si>
  <si>
    <t>MONTURE</t>
  </si>
  <si>
    <t>PROTHESES DENTAIRES REFUSEES</t>
  </si>
  <si>
    <t>CHAMBRE PARTICULIERE</t>
  </si>
  <si>
    <t>IMPLANTOLOGIE</t>
  </si>
  <si>
    <t>FRAIS D'ACCOMPAGNEMENT</t>
  </si>
  <si>
    <t>ORTHODONTIE ACCEPTEE</t>
  </si>
  <si>
    <t>FRAIS ANNEXES</t>
  </si>
  <si>
    <t>MONTURE + VERRES</t>
  </si>
  <si>
    <t>ORTHODONTIE REFUSEE</t>
  </si>
  <si>
    <t>MATERNITE</t>
  </si>
  <si>
    <t>VERRES</t>
  </si>
  <si>
    <t>PARODONTOLOGIE ACCEPTEE</t>
  </si>
  <si>
    <t>CURE THERMALE</t>
  </si>
  <si>
    <t>VERRES ADULTES</t>
  </si>
  <si>
    <t>PARODONTOLOGIE REFUSEE</t>
  </si>
  <si>
    <t>CONSULTATIONS ET VISITES</t>
  </si>
  <si>
    <t>VERRES ADULTES SIMPLES CLASSE 1</t>
  </si>
  <si>
    <t>SOINS COURANTS</t>
  </si>
  <si>
    <t>ACTES DE SPECIALISTES</t>
  </si>
  <si>
    <t>VERRES ADULTES SIMPLES CLASSE 2</t>
  </si>
  <si>
    <t>ACTES D'IMAGERIE</t>
  </si>
  <si>
    <t>VERRES ADULTES SIMPLES CLASSE 3</t>
  </si>
  <si>
    <t>AUXILIAIRES MEDICAUX</t>
  </si>
  <si>
    <t>VERRES ADULTES SIMPLES CLASSE 4</t>
  </si>
  <si>
    <t>ANALYSES</t>
  </si>
  <si>
    <t>VERRES ADULTES PROGRESSIFS CLASSE 1</t>
  </si>
  <si>
    <t>TRANSPORT</t>
  </si>
  <si>
    <t>VERRES ADULTES PROGRESSIFS CLASSE 2</t>
  </si>
  <si>
    <t>PHARMACIE</t>
  </si>
  <si>
    <t>VERRES ADULTES PROGRESSIFS CLASSE 3</t>
  </si>
  <si>
    <t>VERRES ADULTES PROGRESSIFS CLASSE 4</t>
  </si>
  <si>
    <t>VERRES ADULTES SIMPLES TYPE 1</t>
  </si>
  <si>
    <t>PROTHESES AUDITIVES</t>
  </si>
  <si>
    <t>VERRES ADULTES COMPLEXES TYPE 2</t>
  </si>
  <si>
    <t>VERRES ADULTES HYPERCOMPLEXES TYPE 3</t>
  </si>
  <si>
    <t>MEDECINE DOUCE</t>
  </si>
  <si>
    <t>VERRES ENFANTS</t>
  </si>
  <si>
    <t>PREVENTION</t>
  </si>
  <si>
    <t>VERRES ENFANTS SIMPLES CLASSE 1</t>
  </si>
  <si>
    <t>MARIAGE</t>
  </si>
  <si>
    <t>VERRES ENFANTS SIMPLES CLASSE 2</t>
  </si>
  <si>
    <t>FRAIS OBSEQUES</t>
  </si>
  <si>
    <t>VERRES ENFANTS SIMPLES CLASSE 3</t>
  </si>
  <si>
    <t>FONDS ACTION SOCIALE</t>
  </si>
  <si>
    <t>VERRES ENFANTS SIMPLES CLASSE 4</t>
  </si>
  <si>
    <t>GESTE COMMERCIAL</t>
  </si>
  <si>
    <t>VERRES ENFANTS PROGRESSIFS CLASSE 1</t>
  </si>
  <si>
    <t>REGULARISATION CREANCE</t>
  </si>
  <si>
    <t>VERRES ENFANTS PROGRESSIFS CLASSE 2</t>
  </si>
  <si>
    <t>ASSISTANCE</t>
  </si>
  <si>
    <t>VERRES ENFANTS PROGRESSIFS CLASSE 3</t>
  </si>
  <si>
    <t>FRAIS NON REMBOURSABLES</t>
  </si>
  <si>
    <t>VERRES ENFANTS PROGRESSIFS CLASSE 4</t>
  </si>
  <si>
    <t>VERRES ENFANTS SIMPLES TYPE 1</t>
  </si>
  <si>
    <t>VERRES ENFANTS COMPLEXES TYPE 2</t>
  </si>
  <si>
    <t>VERRES ENFANTS HYPERCOMPLEXES TYPE 3</t>
  </si>
  <si>
    <t>SUPPLEMENT OPTIQUE</t>
  </si>
  <si>
    <t>MONTURE + VERRES SIMPLES ADULTES</t>
  </si>
  <si>
    <t>MONTURE + VERRES COMPLEXES ADULTES</t>
  </si>
  <si>
    <t>MONTURE + VERRES SIMPLES ENFANTS</t>
  </si>
  <si>
    <t>MONTURE + VERRES COMPLEXES ENFANTS</t>
  </si>
  <si>
    <t>LIBACTE</t>
  </si>
  <si>
    <t>Min</t>
  </si>
  <si>
    <t>Max</t>
  </si>
  <si>
    <t>Quartile 1</t>
  </si>
  <si>
    <t>Quartile 2</t>
  </si>
  <si>
    <t>Quartile 3</t>
  </si>
  <si>
    <t>Quartile 4</t>
  </si>
  <si>
    <t>Moyenne</t>
  </si>
  <si>
    <t>Réseau Carte Blanche</t>
  </si>
  <si>
    <t>Hors Réseau</t>
  </si>
  <si>
    <t>Nombre d'actes</t>
  </si>
  <si>
    <t>Frais réel moyen</t>
  </si>
  <si>
    <t>Moyen</t>
  </si>
  <si>
    <t>VOS PRESTATIONS</t>
  </si>
  <si>
    <t>NOTRE EXPERIENCE</t>
  </si>
  <si>
    <t>Quantité</t>
  </si>
  <si>
    <t>Frais Réels Moyen par acte</t>
  </si>
  <si>
    <t>Min de FRAISREELS</t>
  </si>
  <si>
    <t>Max de FRAISREELS</t>
  </si>
  <si>
    <t>Remboursement KERIALIS Moyen par acte</t>
  </si>
  <si>
    <t>Remboursement Minimum KERIALIS</t>
  </si>
  <si>
    <t>Remboursement Maximum KERIALIS</t>
  </si>
  <si>
    <t>RESEAU</t>
  </si>
  <si>
    <t>HORS RESEAU</t>
  </si>
  <si>
    <t>Proportion réseau global</t>
  </si>
  <si>
    <t>Frais réels</t>
  </si>
  <si>
    <t>Répartition des Frais réels</t>
  </si>
  <si>
    <t>Remboursement SS</t>
  </si>
  <si>
    <t>Remboursement Autres régimes</t>
  </si>
  <si>
    <t>Remboursement KERIALIS</t>
  </si>
  <si>
    <t>Répartition des Remboursements KERIALIS</t>
  </si>
  <si>
    <t>Taux de couverture</t>
  </si>
  <si>
    <t>Coût minimal</t>
  </si>
  <si>
    <t>25% des actes</t>
  </si>
  <si>
    <t>50% des actes</t>
  </si>
  <si>
    <t>75% des actes</t>
  </si>
  <si>
    <t>90% des actes</t>
  </si>
  <si>
    <t>Coût maximal</t>
  </si>
  <si>
    <t>Ventilation des remboursements KERIALIS par famille d’actes</t>
  </si>
  <si>
    <t>Vos prestations</t>
  </si>
  <si>
    <t>Taux de couverture par famille d'actes</t>
  </si>
  <si>
    <t>Remboursement moyen KERIALIS par acte</t>
  </si>
  <si>
    <t>Votre taux de couverture</t>
  </si>
  <si>
    <t>Taux de couverture
NOTRE EXPERIENCE</t>
  </si>
  <si>
    <t>Notre expérience</t>
  </si>
  <si>
    <t>Remboursement Autres Régimes</t>
  </si>
  <si>
    <t>Somme de Reste à charge</t>
  </si>
  <si>
    <t>Frais Réels Moyen</t>
  </si>
  <si>
    <t>Remboursement KERIALIS Moyen</t>
  </si>
  <si>
    <t>Minimum Remboursement KERIALIS</t>
  </si>
  <si>
    <t>Maximum de Remboursement KERIALIS</t>
  </si>
  <si>
    <t>25% des dépenses</t>
  </si>
  <si>
    <t>50% des dépenses</t>
  </si>
  <si>
    <t>75% des dépenses</t>
  </si>
  <si>
    <t>90% des dépenses</t>
  </si>
  <si>
    <t>AU</t>
  </si>
  <si>
    <t>CONTRAT</t>
  </si>
  <si>
    <t>CODCOL</t>
  </si>
  <si>
    <t>ANNEESOIN</t>
  </si>
  <si>
    <t>LIBFAM</t>
  </si>
  <si>
    <t>PROVISION</t>
  </si>
  <si>
    <t>ANNEE EXPERIENCE</t>
  </si>
  <si>
    <t>TYPE CAS NON CAS</t>
  </si>
  <si>
    <t>NBREACTE</t>
  </si>
  <si>
    <t>FRAISREELS</t>
  </si>
  <si>
    <t>REMBSS</t>
  </si>
  <si>
    <t>REMBANNEXE</t>
  </si>
  <si>
    <t>REMBNOUS</t>
  </si>
  <si>
    <t>MINFR</t>
  </si>
  <si>
    <t>MAXFR</t>
  </si>
  <si>
    <t>MINNOUS</t>
  </si>
  <si>
    <t>MAXNOUS</t>
  </si>
  <si>
    <t>DEBPRIME</t>
  </si>
  <si>
    <t>FINPRIME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</si>
  <si>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</si>
  <si>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</si>
  <si>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</si>
  <si>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</si>
  <si>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</si>
  <si>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</si>
  <si>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</si>
  <si>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</si>
  <si>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</si>
  <si>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Fréquence
 (nb d'actes / bénéficiaire)</t>
  </si>
  <si>
    <t>Remboursement moyen par acte</t>
  </si>
  <si>
    <t>Moyenne par bénéficiaire</t>
  </si>
  <si>
    <t>Répartition des remboursements</t>
  </si>
  <si>
    <t>MONTURE + VERRES ADULTE</t>
  </si>
  <si>
    <t>MONTURE + VERRES ENFANT</t>
  </si>
  <si>
    <t>AUTRES PROTHESES ET APPAREILLAGES</t>
  </si>
  <si>
    <t>AUTRES</t>
  </si>
  <si>
    <t>Ens Pers</t>
  </si>
  <si>
    <t xml:space="preserve"> au </t>
  </si>
  <si>
    <t>COTISATION NETTE</t>
  </si>
  <si>
    <t>COTISATION BRUTE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</si>
</sst>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_-* #,##0\ &quot;€&quot;_-;\-* #,##0\ &quot;€&quot;_-;_-* &quot;-&quot;??\ &quot;€&quot;_-;_-@_-"/>
    <numFmt numFmtId="168" formatCode="0.0000000000000000"/>
    <numFmt numFmtId="169" formatCode="_-* #,##0\ _€_-;\-* #,##0\ _€_-;_-* &quot;-&quot;??\ _€_-;_-@_-"/>
    <numFmt numFmtId="170" formatCode="_-* #,##0.0\ _€_-;\-* #,##0.0\ _€_-;_-* &quot;-&quot;??\ _€_-;_-@_-"/>
    <numFmt numFmtId="171" formatCode="0.0%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b/>
      <sz val="14"/>
      <name val="DINBek"/>
    </font>
    <font>
      <b/>
      <sz val="14"/>
      <color indexed="56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Wingdings"/>
      <charset val="2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b/>
      <sz val="18"/>
      <color theme="2" tint="-0.499984740745262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4"/>
      <color rgb="FF4FACBE"/>
      <name val="DINBek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8"/>
      <color rgb="FF4FACBE"/>
      <name val="Calibri"/>
      <family val="2"/>
      <scheme val="minor"/>
    </font>
    <font>
      <b/>
      <sz val="26"/>
      <color rgb="FF4FACBE"/>
      <name val="DINBek"/>
    </font>
    <font>
      <sz val="24"/>
      <color rgb="FF4FACBE"/>
      <name val="Calibri"/>
      <family val="2"/>
      <scheme val="minor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4"/>
      <color rgb="FF4FACBE"/>
      <name val="Wingdings"/>
      <charset val="2"/>
    </font>
    <font>
      <sz val="12"/>
      <color rgb="FF4FACBE"/>
      <name val="Wingdings"/>
      <charset val="2"/>
    </font>
    <font>
      <b/>
      <sz val="12"/>
      <color rgb="FF4FACBE"/>
      <name val="DINBek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20"/>
      <color rgb="FF4FACBE"/>
      <name val="Calibri"/>
      <family val="2"/>
      <scheme val="minor"/>
    </font>
    <font>
      <b/>
      <sz val="16"/>
      <color rgb="FF4FACBE"/>
      <name val="Calibri"/>
      <family val="2"/>
      <scheme val="minor"/>
    </font>
    <font>
      <sz val="14"/>
      <name val="Arial"/>
      <family val="2"/>
    </font>
    <font>
      <sz val="12"/>
      <name val="Arial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</fills>
  <borders count="74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dotted">
        <color theme="3"/>
      </left>
      <right style="thick">
        <color theme="0"/>
      </right>
      <top/>
      <bottom style="medium">
        <color theme="3"/>
      </bottom>
      <diagonal/>
    </border>
    <border>
      <left style="dotted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165" fontId="1" fillId="0" borderId="0"/>
    <xf numFmtId="164" fontId="1" fillId="0" borderId="0"/>
    <xf numFmtId="164" fontId="1" fillId="0" borderId="0"/>
    <xf numFmtId="0" fontId="3" fillId="0" borderId="0"/>
    <xf numFmtId="0" fontId="3" fillId="0" borderId="0"/>
    <xf numFmtId="0" fontId="31" fillId="0" borderId="0"/>
    <xf numFmtId="0" fontId="3" fillId="0" borderId="0"/>
    <xf numFmtId="0" fontId="3" fillId="0" borderId="0"/>
    <xf numFmtId="9" fontId="1" fillId="0" borderId="0"/>
    <xf numFmtId="9" fontId="3" fillId="0" borderId="0"/>
  </cellStyleXfs>
  <cellXfs count="352">
    <xf numFmtId="0" fontId="0" fillId="0" borderId="0" xfId="0" applyNumberFormat="1" applyFont="1" applyFill="1" applyBorder="1"/>
    <xf numFmtId="164" fontId="1" fillId="0" borderId="0" xfId="2" applyNumberFormat="1" applyFont="1" applyFill="1" applyBorder="1"/>
    <xf numFmtId="0" fontId="3" fillId="0" borderId="0" xfId="4" applyNumberFormat="1" applyFont="1" applyFill="1" applyBorder="1"/>
    <xf numFmtId="0" fontId="31" fillId="0" borderId="0" xfId="6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0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/>
    <xf numFmtId="0" fontId="0" fillId="0" borderId="0" xfId="0" applyNumberFormat="1" applyFont="1" applyFill="1" applyBorder="1"/>
    <xf numFmtId="0" fontId="4" fillId="2" borderId="0" xfId="7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4" applyNumberFormat="1" applyFont="1" applyFill="1" applyBorder="1" applyAlignment="1">
      <alignment horizontal="center" vertical="center"/>
    </xf>
    <xf numFmtId="9" fontId="5" fillId="0" borderId="2" xfId="9" applyNumberFormat="1" applyFont="1" applyFill="1" applyBorder="1" applyAlignment="1">
      <alignment horizontal="center" vertical="center"/>
    </xf>
    <xf numFmtId="0" fontId="7" fillId="2" borderId="0" xfId="7" applyNumberFormat="1" applyFont="1" applyFill="1" applyBorder="1"/>
    <xf numFmtId="9" fontId="4" fillId="2" borderId="0" xfId="9" applyNumberFormat="1" applyFont="1" applyFill="1" applyBorder="1"/>
    <xf numFmtId="0" fontId="6" fillId="2" borderId="0" xfId="7" applyNumberFormat="1" applyFont="1" applyFill="1" applyBorder="1" applyAlignment="1">
      <alignment vertical="center"/>
    </xf>
    <xf numFmtId="9" fontId="6" fillId="2" borderId="0" xfId="9" applyNumberFormat="1" applyFont="1" applyFill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10" fillId="2" borderId="0" xfId="7" applyNumberFormat="1" applyFont="1" applyFill="1" applyBorder="1" applyAlignment="1">
      <alignment vertical="center" wrapText="1"/>
    </xf>
    <xf numFmtId="0" fontId="12" fillId="0" borderId="0" xfId="4" applyNumberFormat="1" applyFont="1" applyFill="1" applyBorder="1"/>
    <xf numFmtId="0" fontId="12" fillId="0" borderId="0" xfId="4" applyNumberFormat="1" applyFont="1" applyFill="1" applyBorder="1" applyAlignment="1">
      <alignment horizontal="center" vertical="center"/>
    </xf>
    <xf numFmtId="0" fontId="12" fillId="0" borderId="15" xfId="4" applyNumberFormat="1" applyFont="1" applyFill="1" applyBorder="1" applyAlignment="1">
      <alignment horizontal="center" vertical="center"/>
    </xf>
    <xf numFmtId="0" fontId="13" fillId="4" borderId="21" xfId="4" applyNumberFormat="1" applyFont="1" applyFill="1" applyBorder="1" applyAlignment="1">
      <alignment horizontal="center" vertical="center"/>
    </xf>
    <xf numFmtId="0" fontId="14" fillId="5" borderId="14" xfId="4" applyNumberFormat="1" applyFont="1" applyFill="1" applyBorder="1" applyAlignment="1">
      <alignment horizontal="center" vertical="center" wrapText="1"/>
    </xf>
    <xf numFmtId="0" fontId="12" fillId="0" borderId="16" xfId="4" applyNumberFormat="1" applyFont="1" applyFill="1" applyBorder="1" applyAlignment="1">
      <alignment horizontal="center" vertical="center"/>
    </xf>
    <xf numFmtId="1" fontId="12" fillId="0" borderId="17" xfId="4" applyNumberFormat="1" applyFont="1" applyFill="1" applyBorder="1" applyAlignment="1">
      <alignment horizontal="center" vertical="center"/>
    </xf>
    <xf numFmtId="0" fontId="13" fillId="4" borderId="24" xfId="4" applyNumberFormat="1" applyFont="1" applyFill="1" applyBorder="1" applyAlignment="1">
      <alignment horizontal="center" vertical="center"/>
    </xf>
    <xf numFmtId="1" fontId="13" fillId="4" borderId="25" xfId="4" applyNumberFormat="1" applyFont="1" applyFill="1" applyBorder="1" applyAlignment="1">
      <alignment horizontal="center" vertical="center"/>
    </xf>
    <xf numFmtId="0" fontId="12" fillId="0" borderId="15" xfId="4" applyNumberFormat="1" applyFont="1" applyFill="1" applyBorder="1" applyAlignment="1">
      <alignment horizontal="center"/>
    </xf>
    <xf numFmtId="1" fontId="12" fillId="0" borderId="15" xfId="4" applyNumberFormat="1" applyFont="1" applyFill="1" applyBorder="1" applyAlignment="1">
      <alignment horizontal="center"/>
    </xf>
    <xf numFmtId="0" fontId="12" fillId="0" borderId="28" xfId="4" applyNumberFormat="1" applyFont="1" applyFill="1" applyBorder="1" applyAlignment="1">
      <alignment horizontal="center"/>
    </xf>
    <xf numFmtId="1" fontId="12" fillId="0" borderId="28" xfId="4" applyNumberFormat="1" applyFont="1" applyFill="1" applyBorder="1" applyAlignment="1">
      <alignment horizontal="center"/>
    </xf>
    <xf numFmtId="0" fontId="12" fillId="0" borderId="2" xfId="4" applyNumberFormat="1" applyFont="1" applyFill="1" applyBorder="1" applyAlignment="1">
      <alignment horizontal="center"/>
    </xf>
    <xf numFmtId="1" fontId="14" fillId="0" borderId="30" xfId="4" applyNumberFormat="1" applyFont="1" applyFill="1" applyBorder="1" applyAlignment="1">
      <alignment horizontal="center"/>
    </xf>
    <xf numFmtId="0" fontId="3" fillId="0" borderId="19" xfId="4" applyNumberFormat="1" applyFont="1" applyFill="1" applyBorder="1"/>
    <xf numFmtId="1" fontId="12" fillId="6" borderId="17" xfId="9" applyNumberFormat="1" applyFont="1" applyFill="1" applyBorder="1" applyAlignment="1">
      <alignment horizontal="center" vertical="center"/>
    </xf>
    <xf numFmtId="1" fontId="13" fillId="4" borderId="25" xfId="9" applyNumberFormat="1" applyFont="1" applyFill="1" applyBorder="1" applyAlignment="1">
      <alignment horizontal="center" vertical="center"/>
    </xf>
    <xf numFmtId="0" fontId="14" fillId="5" borderId="18" xfId="4" applyNumberFormat="1" applyFont="1" applyFill="1" applyBorder="1" applyAlignment="1">
      <alignment horizontal="center" vertical="center" wrapText="1"/>
    </xf>
    <xf numFmtId="0" fontId="16" fillId="0" borderId="0" xfId="4" applyNumberFormat="1" applyFont="1" applyFill="1" applyBorder="1"/>
    <xf numFmtId="0" fontId="18" fillId="0" borderId="0" xfId="0" applyNumberFormat="1" applyFont="1" applyFill="1" applyBorder="1"/>
    <xf numFmtId="0" fontId="0" fillId="0" borderId="0" xfId="0" quotePrefix="1" applyNumberFormat="1" applyFont="1" applyFill="1" applyBorder="1"/>
    <xf numFmtId="0" fontId="3" fillId="0" borderId="0" xfId="4" applyNumberFormat="1" applyFont="1" applyFill="1" applyBorder="1"/>
    <xf numFmtId="0" fontId="16" fillId="0" borderId="0" xfId="4" applyNumberFormat="1" applyFont="1" applyFill="1" applyBorder="1" applyAlignment="1">
      <alignment horizontal="center" vertical="center" wrapText="1"/>
    </xf>
    <xf numFmtId="0" fontId="16" fillId="0" borderId="46" xfId="4" applyNumberFormat="1" applyFont="1" applyFill="1" applyBorder="1"/>
    <xf numFmtId="3" fontId="16" fillId="0" borderId="0" xfId="4" applyNumberFormat="1" applyFont="1" applyFill="1" applyBorder="1"/>
    <xf numFmtId="9" fontId="16" fillId="0" borderId="0" xfId="4" applyNumberFormat="1" applyFont="1" applyFill="1" applyBorder="1"/>
    <xf numFmtId="166" fontId="16" fillId="0" borderId="0" xfId="4" applyNumberFormat="1" applyFont="1" applyFill="1" applyBorder="1"/>
    <xf numFmtId="167" fontId="0" fillId="0" borderId="0" xfId="2" applyNumberFormat="1" applyFont="1" applyFill="1" applyBorder="1"/>
    <xf numFmtId="0" fontId="0" fillId="0" borderId="0" xfId="0" applyNumberFormat="1" applyFont="1" applyFill="1" applyBorder="1"/>
    <xf numFmtId="0" fontId="16" fillId="0" borderId="0" xfId="4" applyNumberFormat="1" applyFont="1" applyFill="1" applyBorder="1"/>
    <xf numFmtId="0" fontId="16" fillId="2" borderId="0" xfId="4" applyNumberFormat="1" applyFont="1" applyFill="1" applyBorder="1"/>
    <xf numFmtId="0" fontId="16" fillId="0" borderId="57" xfId="4" applyNumberFormat="1" applyFont="1" applyFill="1" applyBorder="1"/>
    <xf numFmtId="0" fontId="16" fillId="0" borderId="40" xfId="4" applyNumberFormat="1" applyFont="1" applyFill="1" applyBorder="1"/>
    <xf numFmtId="0" fontId="16" fillId="0" borderId="42" xfId="4" applyNumberFormat="1" applyFont="1" applyFill="1" applyBorder="1"/>
    <xf numFmtId="0" fontId="21" fillId="0" borderId="0" xfId="0" applyNumberFormat="1" applyFont="1" applyFill="1" applyBorder="1" applyAlignment="1">
      <alignment horizontal="left"/>
    </xf>
    <xf numFmtId="1" fontId="0" fillId="0" borderId="0" xfId="0" applyNumberFormat="1" applyFont="1" applyFill="1" applyBorder="1"/>
    <xf numFmtId="0" fontId="22" fillId="0" borderId="0" xfId="0" applyNumberFormat="1" applyFont="1" applyFill="1" applyBorder="1" applyAlignment="1">
      <alignment horizontal="left"/>
    </xf>
    <xf numFmtId="14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left"/>
    </xf>
    <xf numFmtId="0" fontId="3" fillId="0" borderId="0" xfId="4" applyNumberFormat="1" applyFont="1" applyFill="1" applyBorder="1"/>
    <xf numFmtId="166" fontId="2" fillId="0" borderId="0" xfId="0" applyNumberFormat="1" applyFont="1" applyFill="1" applyBorder="1"/>
    <xf numFmtId="166" fontId="0" fillId="0" borderId="0" xfId="0" applyNumberFormat="1" applyFont="1" applyFill="1" applyBorder="1"/>
    <xf numFmtId="166" fontId="4" fillId="0" borderId="0" xfId="7" applyNumberFormat="1" applyFont="1" applyFill="1" applyBorder="1" applyAlignment="1">
      <alignment horizontal="left"/>
    </xf>
    <xf numFmtId="166" fontId="5" fillId="0" borderId="0" xfId="0" applyNumberFormat="1" applyFont="1" applyFill="1" applyBorder="1" applyAlignment="1">
      <alignment horizontal="left" vertical="center"/>
    </xf>
    <xf numFmtId="166" fontId="5" fillId="0" borderId="0" xfId="4" applyNumberFormat="1" applyFont="1" applyFill="1" applyBorder="1" applyAlignment="1">
      <alignment horizontal="center" vertical="center"/>
    </xf>
    <xf numFmtId="166" fontId="5" fillId="0" borderId="2" xfId="4" applyNumberFormat="1" applyFont="1" applyFill="1" applyBorder="1" applyAlignment="1">
      <alignment horizontal="center" vertical="center"/>
    </xf>
    <xf numFmtId="166" fontId="4" fillId="2" borderId="0" xfId="7" applyNumberFormat="1" applyFont="1" applyFill="1" applyBorder="1"/>
    <xf numFmtId="166" fontId="8" fillId="2" borderId="0" xfId="7" applyNumberFormat="1" applyFont="1" applyFill="1" applyBorder="1" applyAlignment="1">
      <alignment horizontal="center"/>
    </xf>
    <xf numFmtId="166" fontId="4" fillId="2" borderId="0" xfId="7" applyNumberFormat="1" applyFont="1" applyFill="1" applyBorder="1" applyAlignment="1">
      <alignment horizontal="center"/>
    </xf>
    <xf numFmtId="166" fontId="0" fillId="0" borderId="9" xfId="0" applyNumberFormat="1" applyFont="1" applyFill="1" applyBorder="1"/>
    <xf numFmtId="166" fontId="0" fillId="0" borderId="0" xfId="0" applyNumberFormat="1" applyFont="1" applyFill="1" applyBorder="1"/>
    <xf numFmtId="166" fontId="0" fillId="0" borderId="0" xfId="0" applyNumberFormat="1" applyFont="1" applyFill="1" applyBorder="1"/>
    <xf numFmtId="0" fontId="23" fillId="0" borderId="0" xfId="0" applyNumberFormat="1" applyFont="1" applyFill="1" applyBorder="1"/>
    <xf numFmtId="0" fontId="24" fillId="2" borderId="0" xfId="4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9" fontId="5" fillId="0" borderId="0" xfId="9" applyNumberFormat="1" applyFont="1" applyFill="1" applyBorder="1" applyAlignment="1">
      <alignment horizontal="center" vertical="center"/>
    </xf>
    <xf numFmtId="0" fontId="3" fillId="0" borderId="9" xfId="4" applyNumberFormat="1" applyFont="1" applyFill="1" applyBorder="1"/>
    <xf numFmtId="0" fontId="12" fillId="0" borderId="9" xfId="4" applyNumberFormat="1" applyFont="1" applyFill="1" applyBorder="1"/>
    <xf numFmtId="0" fontId="16" fillId="0" borderId="69" xfId="4" applyNumberFormat="1" applyFont="1" applyFill="1" applyBorder="1"/>
    <xf numFmtId="0" fontId="16" fillId="0" borderId="70" xfId="4" applyNumberFormat="1" applyFont="1" applyFill="1" applyBorder="1"/>
    <xf numFmtId="0" fontId="16" fillId="0" borderId="71" xfId="4" applyNumberFormat="1" applyFont="1" applyFill="1" applyBorder="1"/>
    <xf numFmtId="0" fontId="16" fillId="0" borderId="72" xfId="4" applyNumberFormat="1" applyFont="1" applyFill="1" applyBorder="1"/>
    <xf numFmtId="0" fontId="16" fillId="0" borderId="73" xfId="4" applyNumberFormat="1" applyFont="1" applyFill="1" applyBorder="1"/>
    <xf numFmtId="0" fontId="0" fillId="0" borderId="0" xfId="0" applyNumberFormat="1" applyFont="1" applyFill="1" applyBorder="1"/>
    <xf numFmtId="10" fontId="0" fillId="8" borderId="0" xfId="0" applyNumberFormat="1" applyFont="1" applyFill="1" applyBorder="1"/>
    <xf numFmtId="14" fontId="0" fillId="8" borderId="0" xfId="0" applyNumberFormat="1" applyFont="1" applyFill="1" applyBorder="1"/>
    <xf numFmtId="0" fontId="0" fillId="8" borderId="0" xfId="0" applyNumberFormat="1" applyFont="1" applyFill="1" applyBorder="1"/>
    <xf numFmtId="0" fontId="16" fillId="0" borderId="0" xfId="4" applyNumberFormat="1" applyFont="1" applyFill="1" applyBorder="1" applyAlignment="1">
      <alignment horizontal="left" vertical="center"/>
    </xf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7" xfId="0" applyNumberFormat="1" applyFont="1" applyFill="1" applyBorder="1"/>
    <xf numFmtId="0" fontId="0" fillId="0" borderId="10" xfId="0" applyNumberFormat="1" applyFont="1" applyFill="1" applyBorder="1"/>
    <xf numFmtId="166" fontId="0" fillId="0" borderId="4" xfId="0" applyNumberFormat="1" applyFont="1" applyFill="1" applyBorder="1"/>
    <xf numFmtId="0" fontId="23" fillId="0" borderId="3" xfId="0" applyNumberFormat="1" applyFont="1" applyFill="1" applyBorder="1"/>
    <xf numFmtId="0" fontId="23" fillId="0" borderId="4" xfId="0" applyNumberFormat="1" applyFont="1" applyFill="1" applyBorder="1"/>
    <xf numFmtId="0" fontId="23" fillId="0" borderId="5" xfId="0" applyNumberFormat="1" applyFont="1" applyFill="1" applyBorder="1"/>
    <xf numFmtId="1" fontId="23" fillId="0" borderId="0" xfId="0" applyNumberFormat="1" applyFont="1" applyFill="1" applyBorder="1"/>
    <xf numFmtId="0" fontId="23" fillId="0" borderId="7" xfId="0" applyNumberFormat="1" applyFont="1" applyFill="1" applyBorder="1"/>
    <xf numFmtId="0" fontId="23" fillId="0" borderId="10" xfId="0" applyNumberFormat="1" applyFont="1" applyFill="1" applyBorder="1"/>
    <xf numFmtId="0" fontId="12" fillId="0" borderId="67" xfId="4" applyNumberFormat="1" applyFont="1" applyFill="1" applyBorder="1"/>
    <xf numFmtId="0" fontId="12" fillId="0" borderId="44" xfId="4" applyNumberFormat="1" applyFont="1" applyFill="1" applyBorder="1"/>
    <xf numFmtId="0" fontId="12" fillId="0" borderId="70" xfId="4" applyNumberFormat="1" applyFont="1" applyFill="1" applyBorder="1"/>
    <xf numFmtId="0" fontId="12" fillId="0" borderId="69" xfId="4" applyNumberFormat="1" applyFont="1" applyFill="1" applyBorder="1"/>
    <xf numFmtId="0" fontId="12" fillId="0" borderId="68" xfId="4" applyNumberFormat="1" applyFont="1" applyFill="1" applyBorder="1"/>
    <xf numFmtId="0" fontId="20" fillId="6" borderId="40" xfId="4" applyNumberFormat="1" applyFont="1" applyFill="1" applyBorder="1"/>
    <xf numFmtId="0" fontId="20" fillId="6" borderId="42" xfId="4" applyNumberFormat="1" applyFont="1" applyFill="1" applyBorder="1"/>
    <xf numFmtId="0" fontId="2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2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27" fillId="0" borderId="0" xfId="0" applyNumberFormat="1" applyFont="1" applyFill="1" applyBorder="1"/>
    <xf numFmtId="0" fontId="28" fillId="0" borderId="6" xfId="0" applyNumberFormat="1" applyFont="1" applyFill="1" applyBorder="1"/>
    <xf numFmtId="0" fontId="28" fillId="0" borderId="0" xfId="0" applyNumberFormat="1" applyFont="1" applyFill="1" applyBorder="1"/>
    <xf numFmtId="0" fontId="28" fillId="0" borderId="7" xfId="0" applyNumberFormat="1" applyFont="1" applyFill="1" applyBorder="1"/>
    <xf numFmtId="0" fontId="25" fillId="0" borderId="0" xfId="0" applyNumberFormat="1" applyFont="1" applyFill="1" applyBorder="1"/>
    <xf numFmtId="0" fontId="26" fillId="0" borderId="6" xfId="0" applyNumberFormat="1" applyFont="1" applyFill="1" applyBorder="1"/>
    <xf numFmtId="0" fontId="12" fillId="0" borderId="0" xfId="5" applyNumberFormat="1" applyFont="1" applyFill="1" applyBorder="1"/>
    <xf numFmtId="0" fontId="26" fillId="0" borderId="7" xfId="0" applyNumberFormat="1" applyFont="1" applyFill="1" applyBorder="1"/>
    <xf numFmtId="0" fontId="26" fillId="0" borderId="0" xfId="0" applyNumberFormat="1" applyFont="1" applyFill="1" applyBorder="1"/>
    <xf numFmtId="168" fontId="26" fillId="0" borderId="0" xfId="0" applyNumberFormat="1" applyFont="1" applyFill="1" applyBorder="1"/>
    <xf numFmtId="0" fontId="26" fillId="2" borderId="0" xfId="0" applyNumberFormat="1" applyFont="1" applyFill="1" applyBorder="1"/>
    <xf numFmtId="0" fontId="30" fillId="2" borderId="0" xfId="5" applyNumberFormat="1" applyFont="1" applyFill="1" applyBorder="1" applyAlignment="1">
      <alignment horizontal="center" vertical="center" wrapText="1"/>
    </xf>
    <xf numFmtId="0" fontId="25" fillId="2" borderId="0" xfId="0" applyNumberFormat="1" applyFont="1" applyFill="1" applyBorder="1"/>
    <xf numFmtId="0" fontId="15" fillId="0" borderId="15" xfId="5" applyNumberFormat="1" applyFont="1" applyFill="1" applyBorder="1"/>
    <xf numFmtId="0" fontId="12" fillId="0" borderId="16" xfId="5" applyNumberFormat="1" applyFont="1" applyFill="1" applyBorder="1" applyAlignment="1">
      <alignment horizontal="center"/>
    </xf>
    <xf numFmtId="9" fontId="12" fillId="0" borderId="17" xfId="9" applyNumberFormat="1" applyFont="1" applyFill="1" applyBorder="1" applyAlignment="1">
      <alignment horizontal="center"/>
    </xf>
    <xf numFmtId="0" fontId="12" fillId="0" borderId="61" xfId="5" applyNumberFormat="1" applyFont="1" applyFill="1" applyBorder="1" applyAlignment="1">
      <alignment horizontal="center"/>
    </xf>
    <xf numFmtId="9" fontId="12" fillId="0" borderId="65" xfId="9" applyNumberFormat="1" applyFont="1" applyFill="1" applyBorder="1" applyAlignment="1">
      <alignment horizontal="center"/>
    </xf>
    <xf numFmtId="0" fontId="12" fillId="0" borderId="66" xfId="5" applyNumberFormat="1" applyFont="1" applyFill="1" applyBorder="1" applyAlignment="1">
      <alignment horizontal="center"/>
    </xf>
    <xf numFmtId="9" fontId="12" fillId="0" borderId="19" xfId="5" applyNumberFormat="1" applyFont="1" applyFill="1" applyBorder="1" applyAlignment="1">
      <alignment horizontal="center"/>
    </xf>
    <xf numFmtId="0" fontId="12" fillId="0" borderId="0" xfId="5" applyNumberFormat="1" applyFont="1" applyFill="1" applyBorder="1" applyAlignment="1">
      <alignment horizontal="left" vertical="center"/>
    </xf>
    <xf numFmtId="0" fontId="12" fillId="0" borderId="0" xfId="5" applyNumberFormat="1" applyFont="1" applyFill="1" applyBorder="1" applyAlignment="1">
      <alignment horizontal="center"/>
    </xf>
    <xf numFmtId="9" fontId="12" fillId="0" borderId="0" xfId="9" applyNumberFormat="1" applyFont="1" applyFill="1" applyBorder="1" applyAlignment="1">
      <alignment horizontal="center"/>
    </xf>
    <xf numFmtId="9" fontId="12" fillId="0" borderId="0" xfId="5" applyNumberFormat="1" applyFont="1" applyFill="1" applyBorder="1" applyAlignment="1">
      <alignment horizontal="center"/>
    </xf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0" fontId="18" fillId="0" borderId="0" xfId="0" applyNumberFormat="1" applyFont="1" applyFill="1" applyBorder="1" applyAlignment="1">
      <alignment horizontal="center" vertical="center"/>
    </xf>
    <xf numFmtId="3" fontId="16" fillId="0" borderId="46" xfId="4" applyNumberFormat="1" applyFont="1" applyFill="1" applyBorder="1" applyAlignment="1">
      <alignment horizontal="center" vertical="center"/>
    </xf>
    <xf numFmtId="166" fontId="16" fillId="0" borderId="46" xfId="4" applyNumberFormat="1" applyFont="1" applyFill="1" applyBorder="1" applyAlignment="1">
      <alignment horizontal="center" vertical="center"/>
    </xf>
    <xf numFmtId="9" fontId="16" fillId="0" borderId="46" xfId="4" applyNumberFormat="1" applyFont="1" applyFill="1" applyBorder="1" applyAlignment="1">
      <alignment horizontal="center" vertical="center"/>
    </xf>
    <xf numFmtId="0" fontId="16" fillId="0" borderId="0" xfId="4" applyNumberFormat="1" applyFont="1" applyFill="1" applyBorder="1" applyAlignment="1">
      <alignment horizontal="center" vertical="center"/>
    </xf>
    <xf numFmtId="9" fontId="16" fillId="0" borderId="52" xfId="4" applyNumberFormat="1" applyFont="1" applyFill="1" applyBorder="1" applyAlignment="1">
      <alignment horizontal="center" vertical="center"/>
    </xf>
    <xf numFmtId="9" fontId="16" fillId="0" borderId="54" xfId="4" applyNumberFormat="1" applyFont="1" applyFill="1" applyBorder="1" applyAlignment="1">
      <alignment horizontal="center" vertical="center"/>
    </xf>
    <xf numFmtId="0" fontId="16" fillId="0" borderId="0" xfId="5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 vertical="center"/>
    </xf>
    <xf numFmtId="3" fontId="16" fillId="0" borderId="52" xfId="4" applyNumberFormat="1" applyFont="1" applyFill="1" applyBorder="1" applyAlignment="1">
      <alignment horizontal="center" vertical="center"/>
    </xf>
    <xf numFmtId="166" fontId="16" fillId="0" borderId="53" xfId="4" applyNumberFormat="1" applyFont="1" applyFill="1" applyBorder="1" applyAlignment="1">
      <alignment horizontal="center" vertical="center"/>
    </xf>
    <xf numFmtId="166" fontId="16" fillId="0" borderId="52" xfId="4" applyNumberFormat="1" applyFont="1" applyFill="1" applyBorder="1" applyAlignment="1">
      <alignment horizontal="center" vertical="center"/>
    </xf>
    <xf numFmtId="0" fontId="3" fillId="0" borderId="0" xfId="4" applyNumberFormat="1" applyFont="1" applyFill="1" applyBorder="1" applyAlignment="1">
      <alignment horizontal="center" vertical="center"/>
    </xf>
    <xf numFmtId="169" fontId="20" fillId="6" borderId="46" xfId="1" applyNumberFormat="1" applyFont="1" applyFill="1" applyBorder="1" applyAlignment="1">
      <alignment horizontal="right" vertical="center"/>
    </xf>
    <xf numFmtId="166" fontId="20" fillId="6" borderId="46" xfId="4" applyNumberFormat="1" applyFont="1" applyFill="1" applyBorder="1" applyAlignment="1">
      <alignment horizontal="right" vertical="center"/>
    </xf>
    <xf numFmtId="9" fontId="20" fillId="6" borderId="46" xfId="4" applyNumberFormat="1" applyFont="1" applyFill="1" applyBorder="1" applyAlignment="1">
      <alignment horizontal="right" vertical="center"/>
    </xf>
    <xf numFmtId="0" fontId="2" fillId="2" borderId="0" xfId="0" applyNumberFormat="1" applyFont="1" applyFill="1" applyBorder="1"/>
    <xf numFmtId="0" fontId="0" fillId="2" borderId="0" xfId="0" applyNumberFormat="1" applyFont="1" applyFill="1" applyBorder="1"/>
    <xf numFmtId="0" fontId="33" fillId="0" borderId="0" xfId="4" applyNumberFormat="1" applyFont="1" applyFill="1" applyBorder="1"/>
    <xf numFmtId="0" fontId="32" fillId="0" borderId="0" xfId="0" applyNumberFormat="1" applyFont="1" applyFill="1" applyBorder="1" applyAlignment="1">
      <alignment horizontal="center" vertical="center"/>
    </xf>
    <xf numFmtId="0" fontId="32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0" fontId="32" fillId="2" borderId="0" xfId="0" applyNumberFormat="1" applyFont="1" applyFill="1" applyBorder="1" applyAlignment="1">
      <alignment vertical="center"/>
    </xf>
    <xf numFmtId="10" fontId="35" fillId="0" borderId="0" xfId="0" applyNumberFormat="1" applyFont="1" applyFill="1" applyBorder="1" applyAlignment="1">
      <alignment horizontal="center" vertical="center"/>
    </xf>
    <xf numFmtId="10" fontId="34" fillId="0" borderId="0" xfId="0" applyNumberFormat="1" applyFont="1" applyFill="1" applyBorder="1" applyAlignment="1">
      <alignment horizontal="center" vertical="center"/>
    </xf>
    <xf numFmtId="9" fontId="0" fillId="0" borderId="0" xfId="0" applyNumberFormat="1" applyFont="1" applyFill="1" applyBorder="1"/>
    <xf numFmtId="164" fontId="1" fillId="0" borderId="0" xfId="2" applyNumberFormat="1" applyFont="1" applyFill="1" applyBorder="1"/>
    <xf numFmtId="170" fontId="20" fillId="6" borderId="46" xfId="1" applyNumberFormat="1" applyFont="1" applyFill="1" applyBorder="1" applyAlignment="1">
      <alignment horizontal="right" vertical="center"/>
    </xf>
    <xf numFmtId="10" fontId="34" fillId="0" borderId="0" xfId="0" applyNumberFormat="1" applyFont="1" applyFill="1" applyBorder="1"/>
    <xf numFmtId="10" fontId="0" fillId="0" borderId="0" xfId="0" applyNumberFormat="1" applyFont="1" applyFill="1" applyBorder="1"/>
    <xf numFmtId="10" fontId="2" fillId="0" borderId="0" xfId="0" applyNumberFormat="1" applyFont="1" applyFill="1" applyBorder="1"/>
    <xf numFmtId="10" fontId="0" fillId="0" borderId="9" xfId="0" applyNumberFormat="1" applyFont="1" applyFill="1" applyBorder="1"/>
    <xf numFmtId="0" fontId="0" fillId="0" borderId="0" xfId="0" applyNumberFormat="1" applyFont="1" applyFill="1" applyBorder="1"/>
    <xf numFmtId="0" fontId="0" fillId="0" borderId="9" xfId="0" applyNumberFormat="1" applyFont="1" applyFill="1" applyBorder="1"/>
    <xf numFmtId="0" fontId="0" fillId="9" borderId="0" xfId="0" applyNumberFormat="1" applyFont="1" applyFill="1" applyBorder="1"/>
    <xf numFmtId="0" fontId="14" fillId="10" borderId="66" xfId="4" applyNumberFormat="1" applyFont="1" applyFill="1" applyBorder="1" applyAlignment="1">
      <alignment horizontal="center" vertical="center" wrapText="1"/>
    </xf>
    <xf numFmtId="0" fontId="38" fillId="0" borderId="0" xfId="0" applyNumberFormat="1" applyFont="1" applyFill="1" applyBorder="1"/>
    <xf numFmtId="0" fontId="38" fillId="0" borderId="3" xfId="0" applyNumberFormat="1" applyFont="1" applyFill="1" applyBorder="1"/>
    <xf numFmtId="0" fontId="38" fillId="0" borderId="4" xfId="0" applyNumberFormat="1" applyFont="1" applyFill="1" applyBorder="1"/>
    <xf numFmtId="0" fontId="38" fillId="0" borderId="5" xfId="0" applyNumberFormat="1" applyFont="1" applyFill="1" applyBorder="1"/>
    <xf numFmtId="0" fontId="38" fillId="0" borderId="6" xfId="0" applyNumberFormat="1" applyFont="1" applyFill="1" applyBorder="1"/>
    <xf numFmtId="0" fontId="38" fillId="0" borderId="7" xfId="0" applyNumberFormat="1" applyFont="1" applyFill="1" applyBorder="1"/>
    <xf numFmtId="0" fontId="39" fillId="0" borderId="0" xfId="8" applyNumberFormat="1" applyFont="1" applyFill="1" applyBorder="1" applyAlignment="1">
      <alignment horizontal="left" vertical="center"/>
    </xf>
    <xf numFmtId="0" fontId="38" fillId="0" borderId="0" xfId="0" applyNumberFormat="1" applyFont="1" applyFill="1" applyBorder="1" applyAlignment="1">
      <alignment horizontal="left" vertical="center"/>
    </xf>
    <xf numFmtId="0" fontId="40" fillId="0" borderId="0" xfId="0" applyNumberFormat="1" applyFont="1" applyFill="1" applyBorder="1"/>
    <xf numFmtId="0" fontId="38" fillId="0" borderId="6" xfId="0" applyNumberFormat="1" applyFont="1" applyFill="1" applyBorder="1" applyAlignment="1">
      <alignment wrapText="1"/>
    </xf>
    <xf numFmtId="0" fontId="38" fillId="0" borderId="7" xfId="0" applyNumberFormat="1" applyFont="1" applyFill="1" applyBorder="1" applyAlignment="1">
      <alignment wrapText="1"/>
    </xf>
    <xf numFmtId="0" fontId="38" fillId="0" borderId="0" xfId="0" applyNumberFormat="1" applyFont="1" applyFill="1" applyBorder="1"/>
    <xf numFmtId="0" fontId="40" fillId="0" borderId="6" xfId="0" applyNumberFormat="1" applyFont="1" applyFill="1" applyBorder="1"/>
    <xf numFmtId="0" fontId="40" fillId="0" borderId="0" xfId="0" applyNumberFormat="1" applyFont="1" applyFill="1" applyBorder="1" applyAlignment="1">
      <alignment horizontal="left" vertical="center"/>
    </xf>
    <xf numFmtId="0" fontId="42" fillId="0" borderId="0" xfId="8" applyNumberFormat="1" applyFont="1" applyFill="1" applyBorder="1" applyAlignment="1">
      <alignment horizontal="left" vertical="center"/>
    </xf>
    <xf numFmtId="0" fontId="40" fillId="0" borderId="0" xfId="0" applyNumberFormat="1" applyFont="1" applyFill="1" applyBorder="1"/>
    <xf numFmtId="0" fontId="40" fillId="0" borderId="7" xfId="0" applyNumberFormat="1" applyFont="1" applyFill="1" applyBorder="1"/>
    <xf numFmtId="0" fontId="40" fillId="0" borderId="0" xfId="0" applyNumberFormat="1" applyFont="1" applyFill="1" applyBorder="1" applyAlignment="1">
      <alignment vertical="center" wrapText="1"/>
    </xf>
    <xf numFmtId="0" fontId="44" fillId="0" borderId="0" xfId="8" applyNumberFormat="1" applyFont="1" applyFill="1" applyBorder="1" applyAlignment="1">
      <alignment horizontal="left" vertical="center"/>
    </xf>
    <xf numFmtId="0" fontId="40" fillId="0" borderId="6" xfId="0" applyNumberFormat="1" applyFont="1" applyFill="1" applyBorder="1"/>
    <xf numFmtId="0" fontId="45" fillId="0" borderId="0" xfId="8" applyNumberFormat="1" applyFont="1" applyFill="1" applyBorder="1" applyAlignment="1">
      <alignment horizontal="left" vertical="center"/>
    </xf>
    <xf numFmtId="0" fontId="46" fillId="0" borderId="0" xfId="8" applyNumberFormat="1" applyFont="1" applyFill="1" applyBorder="1" applyAlignment="1">
      <alignment horizontal="left" vertical="center"/>
    </xf>
    <xf numFmtId="0" fontId="47" fillId="0" borderId="0" xfId="8" applyNumberFormat="1" applyFont="1" applyFill="1" applyBorder="1" applyAlignment="1">
      <alignment horizontal="center"/>
    </xf>
    <xf numFmtId="0" fontId="40" fillId="0" borderId="7" xfId="0" applyNumberFormat="1" applyFont="1" applyFill="1" applyBorder="1"/>
    <xf numFmtId="0" fontId="38" fillId="0" borderId="8" xfId="0" applyNumberFormat="1" applyFont="1" applyFill="1" applyBorder="1"/>
    <xf numFmtId="0" fontId="38" fillId="0" borderId="9" xfId="0" applyNumberFormat="1" applyFont="1" applyFill="1" applyBorder="1"/>
    <xf numFmtId="0" fontId="38" fillId="0" borderId="10" xfId="0" applyNumberFormat="1" applyFont="1" applyFill="1" applyBorder="1"/>
    <xf numFmtId="0" fontId="48" fillId="0" borderId="0" xfId="7" quotePrefix="1" applyNumberFormat="1" applyFont="1" applyFill="1" applyBorder="1"/>
    <xf numFmtId="0" fontId="48" fillId="0" borderId="0" xfId="7" applyNumberFormat="1" applyFont="1" applyFill="1" applyBorder="1"/>
    <xf numFmtId="14" fontId="48" fillId="0" borderId="0" xfId="7" applyNumberFormat="1" applyFont="1" applyFill="1" applyBorder="1" applyAlignment="1">
      <alignment horizontal="left"/>
    </xf>
    <xf numFmtId="166" fontId="6" fillId="10" borderId="2" xfId="4" applyNumberFormat="1" applyFont="1" applyFill="1" applyBorder="1" applyAlignment="1">
      <alignment horizontal="center" vertical="center" wrapText="1"/>
    </xf>
    <xf numFmtId="0" fontId="6" fillId="10" borderId="2" xfId="4" applyNumberFormat="1" applyFont="1" applyFill="1" applyBorder="1" applyAlignment="1">
      <alignment horizontal="center" vertical="center" wrapText="1"/>
    </xf>
    <xf numFmtId="0" fontId="6" fillId="10" borderId="1" xfId="4" applyNumberFormat="1" applyFont="1" applyFill="1" applyBorder="1" applyAlignment="1">
      <alignment horizontal="center" vertical="center"/>
    </xf>
    <xf numFmtId="0" fontId="6" fillId="10" borderId="0" xfId="4" applyNumberFormat="1" applyFont="1" applyFill="1" applyBorder="1" applyAlignment="1">
      <alignment horizontal="center" vertical="center"/>
    </xf>
    <xf numFmtId="0" fontId="49" fillId="2" borderId="0" xfId="4" applyNumberFormat="1" applyFont="1" applyFill="1" applyBorder="1" applyAlignment="1">
      <alignment horizontal="center" vertical="center"/>
    </xf>
    <xf numFmtId="0" fontId="16" fillId="2" borderId="0" xfId="7" applyNumberFormat="1" applyFont="1" applyFill="1" applyBorder="1"/>
    <xf numFmtId="0" fontId="50" fillId="2" borderId="0" xfId="7" applyNumberFormat="1" applyFont="1" applyFill="1" applyBorder="1"/>
    <xf numFmtId="0" fontId="48" fillId="0" borderId="0" xfId="0" applyNumberFormat="1" applyFont="1" applyFill="1" applyBorder="1" applyAlignment="1">
      <alignment horizontal="left" vertical="center"/>
    </xf>
    <xf numFmtId="0" fontId="48" fillId="2" borderId="0" xfId="7" applyNumberFormat="1" applyFont="1" applyFill="1" applyBorder="1"/>
    <xf numFmtId="166" fontId="48" fillId="2" borderId="0" xfId="7" applyNumberFormat="1" applyFont="1" applyFill="1" applyBorder="1"/>
    <xf numFmtId="166" fontId="48" fillId="2" borderId="0" xfId="7" applyNumberFormat="1" applyFont="1" applyFill="1" applyBorder="1" applyAlignment="1">
      <alignment horizontal="center"/>
    </xf>
    <xf numFmtId="0" fontId="51" fillId="2" borderId="0" xfId="7" applyNumberFormat="1" applyFont="1" applyFill="1" applyBorder="1" applyAlignment="1">
      <alignment vertical="center"/>
    </xf>
    <xf numFmtId="9" fontId="51" fillId="2" borderId="0" xfId="9" applyNumberFormat="1" applyFont="1" applyFill="1" applyBorder="1" applyAlignment="1">
      <alignment horizontal="center" vertical="center" wrapText="1"/>
    </xf>
    <xf numFmtId="0" fontId="52" fillId="0" borderId="0" xfId="0" applyNumberFormat="1" applyFont="1" applyFill="1" applyBorder="1"/>
    <xf numFmtId="0" fontId="53" fillId="0" borderId="0" xfId="5" applyNumberFormat="1" applyFont="1" applyFill="1" applyBorder="1"/>
    <xf numFmtId="0" fontId="14" fillId="10" borderId="61" xfId="5" applyNumberFormat="1" applyFont="1" applyFill="1" applyBorder="1" applyAlignment="1">
      <alignment horizontal="center" vertical="center" wrapText="1"/>
    </xf>
    <xf numFmtId="0" fontId="14" fillId="10" borderId="62" xfId="5" applyNumberFormat="1" applyFont="1" applyFill="1" applyBorder="1" applyAlignment="1">
      <alignment horizontal="center" vertical="center" wrapText="1"/>
    </xf>
    <xf numFmtId="0" fontId="14" fillId="10" borderId="63" xfId="5" applyNumberFormat="1" applyFont="1" applyFill="1" applyBorder="1" applyAlignment="1">
      <alignment horizontal="center" vertical="center" wrapText="1"/>
    </xf>
    <xf numFmtId="0" fontId="50" fillId="0" borderId="64" xfId="5" applyNumberFormat="1" applyFont="1" applyFill="1" applyBorder="1"/>
    <xf numFmtId="0" fontId="50" fillId="0" borderId="2" xfId="5" applyNumberFormat="1" applyFont="1" applyFill="1" applyBorder="1" applyAlignment="1">
      <alignment horizontal="left" vertical="center"/>
    </xf>
    <xf numFmtId="0" fontId="54" fillId="0" borderId="0" xfId="4" applyNumberFormat="1" applyFont="1" applyFill="1" applyBorder="1"/>
    <xf numFmtId="0" fontId="50" fillId="0" borderId="0" xfId="4" applyNumberFormat="1" applyFont="1" applyFill="1" applyBorder="1"/>
    <xf numFmtId="0" fontId="50" fillId="0" borderId="15" xfId="4" applyNumberFormat="1" applyFont="1" applyFill="1" applyBorder="1" applyAlignment="1">
      <alignment horizontal="center" vertical="center"/>
    </xf>
    <xf numFmtId="0" fontId="50" fillId="0" borderId="20" xfId="4" applyNumberFormat="1" applyFont="1" applyFill="1" applyBorder="1" applyAlignment="1">
      <alignment horizontal="center" vertical="center"/>
    </xf>
    <xf numFmtId="0" fontId="13" fillId="10" borderId="21" xfId="4" applyNumberFormat="1" applyFont="1" applyFill="1" applyBorder="1" applyAlignment="1">
      <alignment horizontal="center" vertical="center"/>
    </xf>
    <xf numFmtId="0" fontId="14" fillId="10" borderId="26" xfId="4" applyNumberFormat="1" applyFont="1" applyFill="1" applyBorder="1" applyAlignment="1">
      <alignment horizontal="center" vertical="center"/>
    </xf>
    <xf numFmtId="0" fontId="14" fillId="10" borderId="27" xfId="4" applyNumberFormat="1" applyFont="1" applyFill="1" applyBorder="1" applyAlignment="1">
      <alignment horizontal="center" vertical="center" wrapText="1"/>
    </xf>
    <xf numFmtId="0" fontId="50" fillId="0" borderId="15" xfId="4" applyNumberFormat="1" applyFont="1" applyFill="1" applyBorder="1"/>
    <xf numFmtId="0" fontId="50" fillId="0" borderId="39" xfId="4" applyNumberFormat="1" applyFont="1" applyFill="1" applyBorder="1"/>
    <xf numFmtId="0" fontId="50" fillId="0" borderId="20" xfId="4" applyNumberFormat="1" applyFont="1" applyFill="1" applyBorder="1"/>
    <xf numFmtId="0" fontId="50" fillId="0" borderId="29" xfId="4" applyNumberFormat="1" applyFont="1" applyFill="1" applyBorder="1"/>
    <xf numFmtId="2" fontId="13" fillId="10" borderId="2" xfId="4" applyNumberFormat="1" applyFont="1" applyFill="1" applyBorder="1" applyAlignment="1">
      <alignment horizontal="center"/>
    </xf>
    <xf numFmtId="9" fontId="50" fillId="6" borderId="17" xfId="9" applyNumberFormat="1" applyFont="1" applyFill="1" applyBorder="1" applyAlignment="1">
      <alignment horizontal="center"/>
    </xf>
    <xf numFmtId="9" fontId="50" fillId="6" borderId="23" xfId="9" applyNumberFormat="1" applyFont="1" applyFill="1" applyBorder="1" applyAlignment="1">
      <alignment horizontal="center"/>
    </xf>
    <xf numFmtId="0" fontId="19" fillId="10" borderId="46" xfId="4" applyNumberFormat="1" applyFont="1" applyFill="1" applyBorder="1" applyAlignment="1">
      <alignment horizontal="center" vertical="center" wrapText="1"/>
    </xf>
    <xf numFmtId="0" fontId="19" fillId="10" borderId="43" xfId="4" applyNumberFormat="1" applyFont="1" applyFill="1" applyBorder="1" applyAlignment="1">
      <alignment horizontal="center" vertical="center" wrapText="1"/>
    </xf>
    <xf numFmtId="0" fontId="16" fillId="10" borderId="46" xfId="4" applyNumberFormat="1" applyFont="1" applyFill="1" applyBorder="1" applyAlignment="1">
      <alignment horizontal="center" vertical="center" wrapText="1"/>
    </xf>
    <xf numFmtId="0" fontId="16" fillId="10" borderId="44" xfId="4" applyNumberFormat="1" applyFont="1" applyFill="1" applyBorder="1" applyAlignment="1">
      <alignment horizontal="center" vertical="center" wrapText="1"/>
    </xf>
    <xf numFmtId="0" fontId="19" fillId="10" borderId="44" xfId="4" applyNumberFormat="1" applyFont="1" applyFill="1" applyBorder="1" applyAlignment="1">
      <alignment horizontal="center" vertical="center" wrapText="1"/>
    </xf>
    <xf numFmtId="0" fontId="16" fillId="10" borderId="45" xfId="4" applyNumberFormat="1" applyFont="1" applyFill="1" applyBorder="1" applyAlignment="1">
      <alignment horizontal="center" vertical="center" wrapText="1"/>
    </xf>
    <xf numFmtId="0" fontId="14" fillId="10" borderId="46" xfId="4" applyNumberFormat="1" applyFont="1" applyFill="1" applyBorder="1"/>
    <xf numFmtId="0" fontId="13" fillId="10" borderId="46" xfId="4" applyNumberFormat="1" applyFont="1" applyFill="1" applyBorder="1"/>
    <xf numFmtId="3" fontId="13" fillId="10" borderId="46" xfId="4" applyNumberFormat="1" applyFont="1" applyFill="1" applyBorder="1" applyAlignment="1">
      <alignment horizontal="right" vertical="center"/>
    </xf>
    <xf numFmtId="170" fontId="13" fillId="10" borderId="46" xfId="4" applyNumberFormat="1" applyFont="1" applyFill="1" applyBorder="1" applyAlignment="1">
      <alignment horizontal="right" vertical="center"/>
    </xf>
    <xf numFmtId="166" fontId="13" fillId="10" borderId="46" xfId="4" applyNumberFormat="1" applyFont="1" applyFill="1" applyBorder="1" applyAlignment="1">
      <alignment horizontal="right" vertical="center"/>
    </xf>
    <xf numFmtId="9" fontId="13" fillId="10" borderId="46" xfId="4" applyNumberFormat="1" applyFont="1" applyFill="1" applyBorder="1" applyAlignment="1">
      <alignment horizontal="right" vertical="center"/>
    </xf>
    <xf numFmtId="171" fontId="13" fillId="10" borderId="46" xfId="4" applyNumberFormat="1" applyFont="1" applyFill="1" applyBorder="1" applyAlignment="1">
      <alignment horizontal="right" vertical="center"/>
    </xf>
    <xf numFmtId="0" fontId="49" fillId="6" borderId="40" xfId="4" applyNumberFormat="1" applyFont="1" applyFill="1" applyBorder="1"/>
    <xf numFmtId="0" fontId="49" fillId="6" borderId="42" xfId="4" applyNumberFormat="1" applyFont="1" applyFill="1" applyBorder="1"/>
    <xf numFmtId="166" fontId="49" fillId="6" borderId="46" xfId="4" applyNumberFormat="1" applyFont="1" applyFill="1" applyBorder="1" applyAlignment="1">
      <alignment horizontal="right" vertical="center"/>
    </xf>
    <xf numFmtId="9" fontId="49" fillId="6" borderId="46" xfId="4" applyNumberFormat="1" applyFont="1" applyFill="1" applyBorder="1" applyAlignment="1">
      <alignment horizontal="right" vertical="center"/>
    </xf>
    <xf numFmtId="0" fontId="55" fillId="7" borderId="46" xfId="4" applyNumberFormat="1" applyFont="1" applyFill="1" applyBorder="1"/>
    <xf numFmtId="166" fontId="55" fillId="7" borderId="46" xfId="4" applyNumberFormat="1" applyFont="1" applyFill="1" applyBorder="1" applyAlignment="1">
      <alignment horizontal="right" vertical="center"/>
    </xf>
    <xf numFmtId="9" fontId="55" fillId="7" borderId="46" xfId="4" applyNumberFormat="1" applyFont="1" applyFill="1" applyBorder="1" applyAlignment="1">
      <alignment horizontal="right" vertical="center"/>
    </xf>
    <xf numFmtId="0" fontId="44" fillId="0" borderId="0" xfId="4" applyNumberFormat="1" applyFont="1" applyFill="1" applyBorder="1"/>
    <xf numFmtId="169" fontId="49" fillId="6" borderId="46" xfId="1" applyNumberFormat="1" applyFont="1" applyFill="1" applyBorder="1" applyAlignment="1">
      <alignment horizontal="right" vertical="center"/>
    </xf>
    <xf numFmtId="0" fontId="49" fillId="2" borderId="40" xfId="4" applyNumberFormat="1" applyFont="1" applyFill="1" applyBorder="1"/>
    <xf numFmtId="0" fontId="49" fillId="2" borderId="42" xfId="4" applyNumberFormat="1" applyFont="1" applyFill="1" applyBorder="1"/>
    <xf numFmtId="169" fontId="49" fillId="2" borderId="46" xfId="1" applyNumberFormat="1" applyFont="1" applyFill="1" applyBorder="1" applyAlignment="1">
      <alignment horizontal="right" vertical="center"/>
    </xf>
    <xf numFmtId="9" fontId="49" fillId="2" borderId="46" xfId="4" applyNumberFormat="1" applyFont="1" applyFill="1" applyBorder="1" applyAlignment="1">
      <alignment horizontal="right" vertical="center"/>
    </xf>
    <xf numFmtId="0" fontId="38" fillId="2" borderId="0" xfId="0" applyNumberFormat="1" applyFont="1" applyFill="1" applyBorder="1"/>
    <xf numFmtId="0" fontId="57" fillId="2" borderId="0" xfId="0" applyNumberFormat="1" applyFont="1" applyFill="1" applyBorder="1" applyAlignment="1">
      <alignment horizontal="center" vertical="center" wrapText="1"/>
    </xf>
    <xf numFmtId="0" fontId="56" fillId="2" borderId="0" xfId="0" applyNumberFormat="1" applyFont="1" applyFill="1" applyBorder="1" applyAlignment="1">
      <alignment vertical="center"/>
    </xf>
    <xf numFmtId="0" fontId="58" fillId="0" borderId="0" xfId="0" applyNumberFormat="1" applyFont="1" applyFill="1" applyBorder="1"/>
    <xf numFmtId="0" fontId="19" fillId="10" borderId="47" xfId="4" applyNumberFormat="1" applyFont="1" applyFill="1" applyBorder="1" applyAlignment="1">
      <alignment horizontal="center" vertical="center" wrapText="1"/>
    </xf>
    <xf numFmtId="0" fontId="19" fillId="10" borderId="48" xfId="4" applyNumberFormat="1" applyFont="1" applyFill="1" applyBorder="1" applyAlignment="1">
      <alignment horizontal="center" vertical="center" wrapText="1"/>
    </xf>
    <xf numFmtId="0" fontId="16" fillId="10" borderId="49" xfId="4" applyNumberFormat="1" applyFont="1" applyFill="1" applyBorder="1" applyAlignment="1">
      <alignment horizontal="center" vertical="center" wrapText="1"/>
    </xf>
    <xf numFmtId="0" fontId="16" fillId="10" borderId="50" xfId="4" applyNumberFormat="1" applyFont="1" applyFill="1" applyBorder="1" applyAlignment="1">
      <alignment horizontal="center" vertical="center" wrapText="1"/>
    </xf>
    <xf numFmtId="0" fontId="16" fillId="10" borderId="51" xfId="4" applyNumberFormat="1" applyFont="1" applyFill="1" applyBorder="1" applyAlignment="1">
      <alignment horizontal="center" vertical="center" wrapText="1"/>
    </xf>
    <xf numFmtId="3" fontId="17" fillId="10" borderId="46" xfId="5" applyNumberFormat="1" applyFont="1" applyFill="1" applyBorder="1" applyAlignment="1">
      <alignment horizontal="center" vertical="center"/>
    </xf>
    <xf numFmtId="166" fontId="17" fillId="10" borderId="46" xfId="5" applyNumberFormat="1" applyFont="1" applyFill="1" applyBorder="1" applyAlignment="1">
      <alignment horizontal="center" vertical="center"/>
    </xf>
    <xf numFmtId="9" fontId="17" fillId="10" borderId="46" xfId="5" applyNumberFormat="1" applyFont="1" applyFill="1" applyBorder="1" applyAlignment="1">
      <alignment horizontal="center" vertical="center"/>
    </xf>
    <xf numFmtId="9" fontId="17" fillId="10" borderId="48" xfId="5" applyNumberFormat="1" applyFont="1" applyFill="1" applyBorder="1" applyAlignment="1">
      <alignment horizontal="center" vertical="center"/>
    </xf>
    <xf numFmtId="0" fontId="19" fillId="10" borderId="46" xfId="5" applyNumberFormat="1" applyFont="1" applyFill="1" applyBorder="1" applyAlignment="1">
      <alignment horizontal="center" vertical="center" wrapText="1"/>
    </xf>
    <xf numFmtId="0" fontId="19" fillId="10" borderId="41" xfId="5" applyNumberFormat="1" applyFont="1" applyFill="1" applyBorder="1" applyAlignment="1">
      <alignment horizontal="center" vertical="center" wrapText="1"/>
    </xf>
    <xf numFmtId="0" fontId="16" fillId="10" borderId="48" xfId="5" applyNumberFormat="1" applyFont="1" applyFill="1" applyBorder="1" applyAlignment="1">
      <alignment horizontal="center" vertical="center" wrapText="1"/>
    </xf>
    <xf numFmtId="0" fontId="16" fillId="10" borderId="41" xfId="5" applyNumberFormat="1" applyFont="1" applyFill="1" applyBorder="1" applyAlignment="1">
      <alignment horizontal="center" vertical="center" wrapText="1"/>
    </xf>
    <xf numFmtId="0" fontId="16" fillId="10" borderId="46" xfId="5" applyNumberFormat="1" applyFont="1" applyFill="1" applyBorder="1" applyAlignment="1">
      <alignment horizontal="center" vertical="center" wrapText="1"/>
    </xf>
    <xf numFmtId="166" fontId="17" fillId="10" borderId="46" xfId="3" applyNumberFormat="1" applyFont="1" applyFill="1" applyBorder="1" applyAlignment="1">
      <alignment horizontal="center" vertical="center"/>
    </xf>
    <xf numFmtId="0" fontId="19" fillId="10" borderId="49" xfId="4" applyNumberFormat="1" applyFont="1" applyFill="1" applyBorder="1" applyAlignment="1">
      <alignment horizontal="center" vertical="center" wrapText="1"/>
    </xf>
    <xf numFmtId="0" fontId="19" fillId="10" borderId="50" xfId="4" applyNumberFormat="1" applyFont="1" applyFill="1" applyBorder="1" applyAlignment="1">
      <alignment horizontal="center" vertical="center" wrapText="1"/>
    </xf>
    <xf numFmtId="0" fontId="19" fillId="10" borderId="51" xfId="4" applyNumberFormat="1" applyFont="1" applyFill="1" applyBorder="1" applyAlignment="1">
      <alignment horizontal="center" vertical="center" wrapText="1"/>
    </xf>
    <xf numFmtId="0" fontId="19" fillId="10" borderId="42" xfId="4" applyNumberFormat="1" applyFont="1" applyFill="1" applyBorder="1" applyAlignment="1">
      <alignment horizontal="center" vertical="center" wrapText="1"/>
    </xf>
    <xf numFmtId="3" fontId="13" fillId="10" borderId="46" xfId="4" applyNumberFormat="1" applyFont="1" applyFill="1" applyBorder="1" applyAlignment="1">
      <alignment horizontal="center" vertical="center"/>
    </xf>
    <xf numFmtId="166" fontId="13" fillId="10" borderId="47" xfId="4" applyNumberFormat="1" applyFont="1" applyFill="1" applyBorder="1" applyAlignment="1">
      <alignment horizontal="center" vertical="center"/>
    </xf>
    <xf numFmtId="9" fontId="13" fillId="10" borderId="48" xfId="4" applyNumberFormat="1" applyFont="1" applyFill="1" applyBorder="1" applyAlignment="1">
      <alignment horizontal="center" vertical="center"/>
    </xf>
    <xf numFmtId="9" fontId="13" fillId="10" borderId="46" xfId="4" applyNumberFormat="1" applyFont="1" applyFill="1" applyBorder="1" applyAlignment="1">
      <alignment horizontal="center" vertical="center"/>
    </xf>
    <xf numFmtId="166" fontId="13" fillId="10" borderId="46" xfId="4" applyNumberFormat="1" applyFont="1" applyFill="1" applyBorder="1" applyAlignment="1">
      <alignment horizontal="center" vertical="center"/>
    </xf>
    <xf numFmtId="166" fontId="13" fillId="10" borderId="48" xfId="4" applyNumberFormat="1" applyFont="1" applyFill="1" applyBorder="1" applyAlignment="1">
      <alignment horizontal="center" vertical="center"/>
    </xf>
    <xf numFmtId="0" fontId="53" fillId="0" borderId="0" xfId="0" applyNumberFormat="1" applyFont="1" applyFill="1" applyBorder="1" applyAlignment="1">
      <alignment horizontal="left" vertical="center" indent="8" readingOrder="1"/>
    </xf>
    <xf numFmtId="2" fontId="13" fillId="10" borderId="21" xfId="4" applyNumberFormat="1" applyFont="1" applyFill="1" applyBorder="1" applyAlignment="1">
      <alignment horizontal="center" vertical="center"/>
    </xf>
    <xf numFmtId="3" fontId="12" fillId="0" borderId="16" xfId="5" applyNumberFormat="1" applyFont="1" applyFill="1" applyBorder="1" applyAlignment="1">
      <alignment horizontal="center"/>
    </xf>
    <xf numFmtId="3" fontId="12" fillId="0" borderId="61" xfId="5" applyNumberFormat="1" applyFont="1" applyFill="1" applyBorder="1" applyAlignment="1">
      <alignment horizontal="center"/>
    </xf>
    <xf numFmtId="3" fontId="12" fillId="0" borderId="66" xfId="5" applyNumberFormat="1" applyFont="1" applyFill="1" applyBorder="1" applyAlignment="1">
      <alignment horizontal="center"/>
    </xf>
    <xf numFmtId="3" fontId="50" fillId="0" borderId="16" xfId="4" applyNumberFormat="1" applyFont="1" applyFill="1" applyBorder="1" applyAlignment="1">
      <alignment horizontal="center" vertical="center"/>
    </xf>
    <xf numFmtId="3" fontId="50" fillId="0" borderId="22" xfId="4" applyNumberFormat="1" applyFont="1" applyFill="1" applyBorder="1" applyAlignment="1">
      <alignment horizontal="center" vertical="center"/>
    </xf>
    <xf numFmtId="3" fontId="13" fillId="10" borderId="21" xfId="4" applyNumberFormat="1" applyFont="1" applyFill="1" applyBorder="1" applyAlignment="1">
      <alignment horizontal="center" vertical="center"/>
    </xf>
    <xf numFmtId="2" fontId="50" fillId="0" borderId="17" xfId="4" applyNumberFormat="1" applyFont="1" applyFill="1" applyBorder="1" applyAlignment="1">
      <alignment horizontal="center" vertical="center"/>
    </xf>
    <xf numFmtId="2" fontId="50" fillId="0" borderId="23" xfId="4" applyNumberFormat="1" applyFont="1" applyFill="1" applyBorder="1" applyAlignment="1">
      <alignment horizontal="center" vertical="center"/>
    </xf>
    <xf numFmtId="9" fontId="16" fillId="0" borderId="45" xfId="4" applyNumberFormat="1" applyFont="1" applyFill="1" applyBorder="1" applyAlignment="1">
      <alignment horizontal="center" vertical="center"/>
    </xf>
    <xf numFmtId="9" fontId="16" fillId="0" borderId="56" xfId="4" applyNumberFormat="1" applyFont="1" applyFill="1" applyBorder="1" applyAlignment="1">
      <alignment horizontal="center" vertical="center"/>
    </xf>
    <xf numFmtId="0" fontId="16" fillId="0" borderId="68" xfId="4" applyNumberFormat="1" applyFont="1" applyFill="1" applyBorder="1"/>
    <xf numFmtId="3" fontId="16" fillId="0" borderId="45" xfId="4" applyNumberFormat="1" applyFont="1" applyFill="1" applyBorder="1" applyAlignment="1">
      <alignment horizontal="center" vertical="center"/>
    </xf>
    <xf numFmtId="166" fontId="16" fillId="0" borderId="55" xfId="4" applyNumberFormat="1" applyFont="1" applyFill="1" applyBorder="1" applyAlignment="1">
      <alignment horizontal="center" vertical="center"/>
    </xf>
    <xf numFmtId="0" fontId="0" fillId="9" borderId="0" xfId="0" applyNumberFormat="1" applyFont="1" applyFill="1"/>
    <xf numFmtId="0" fontId="36" fillId="0" borderId="0" xfId="0" applyNumberFormat="1" applyFont="1" applyFill="1" applyBorder="1"/>
    <xf numFmtId="0" fontId="41" fillId="0" borderId="0" xfId="0" applyNumberFormat="1" applyFont="1" applyFill="1" applyBorder="1" applyAlignment="1">
      <alignment horizontal="center" vertical="center" wrapText="1"/>
    </xf>
    <xf numFmtId="49" fontId="59" fillId="0" borderId="0" xfId="8" quotePrefix="1" applyNumberFormat="1" applyFont="1" applyFill="1" applyBorder="1" applyAlignment="1">
      <alignment horizontal="left" vertical="center" wrapText="1"/>
    </xf>
    <xf numFmtId="0" fontId="43" fillId="0" borderId="0" xfId="0" applyNumberFormat="1" applyFont="1" applyFill="1" applyBorder="1" applyAlignment="1">
      <alignment horizontal="left" vertical="center" wrapText="1"/>
    </xf>
    <xf numFmtId="1" fontId="37" fillId="0" borderId="11" xfId="7" applyNumberFormat="1" applyFont="1" applyFill="1" applyBorder="1" applyAlignment="1">
      <alignment horizontal="left" vertical="center" wrapText="1"/>
    </xf>
    <xf numFmtId="1" fontId="37" fillId="0" borderId="12" xfId="7" applyNumberFormat="1" applyFont="1" applyFill="1" applyBorder="1" applyAlignment="1">
      <alignment horizontal="left" vertical="center" wrapText="1"/>
    </xf>
    <xf numFmtId="1" fontId="37" fillId="0" borderId="13" xfId="7" applyNumberFormat="1" applyFont="1" applyFill="1" applyBorder="1" applyAlignment="1">
      <alignment horizontal="left" vertical="center" wrapText="1"/>
    </xf>
    <xf numFmtId="0" fontId="12" fillId="2" borderId="0" xfId="7" applyNumberFormat="1" applyFont="1" applyFill="1" applyBorder="1" applyAlignment="1">
      <alignment horizontal="left" wrapText="1"/>
    </xf>
    <xf numFmtId="0" fontId="50" fillId="2" borderId="0" xfId="7" applyNumberFormat="1" applyFont="1" applyFill="1" applyBorder="1" applyAlignment="1">
      <alignment horizontal="left" wrapText="1"/>
    </xf>
    <xf numFmtId="0" fontId="29" fillId="10" borderId="58" xfId="0" applyNumberFormat="1" applyFont="1" applyFill="1" applyBorder="1" applyAlignment="1">
      <alignment horizontal="center" vertical="center"/>
    </xf>
    <xf numFmtId="0" fontId="29" fillId="10" borderId="59" xfId="0" applyNumberFormat="1" applyFont="1" applyFill="1" applyBorder="1" applyAlignment="1">
      <alignment horizontal="center" vertical="center"/>
    </xf>
    <xf numFmtId="0" fontId="29" fillId="10" borderId="60" xfId="0" applyNumberFormat="1" applyFont="1" applyFill="1" applyBorder="1" applyAlignment="1">
      <alignment horizontal="center" vertical="center"/>
    </xf>
    <xf numFmtId="0" fontId="15" fillId="0" borderId="31" xfId="4" applyNumberFormat="1" applyFont="1" applyFill="1" applyBorder="1" applyAlignment="1">
      <alignment horizontal="center" vertical="center"/>
    </xf>
    <xf numFmtId="0" fontId="15" fillId="0" borderId="32" xfId="4" applyNumberFormat="1" applyFont="1" applyFill="1" applyBorder="1" applyAlignment="1">
      <alignment horizontal="center" vertical="center"/>
    </xf>
    <xf numFmtId="0" fontId="15" fillId="0" borderId="33" xfId="4" applyNumberFormat="1" applyFont="1" applyFill="1" applyBorder="1" applyAlignment="1">
      <alignment horizontal="center" vertical="center"/>
    </xf>
    <xf numFmtId="0" fontId="15" fillId="0" borderId="34" xfId="4" applyNumberFormat="1" applyFont="1" applyFill="1" applyBorder="1" applyAlignment="1">
      <alignment horizontal="center" vertical="center"/>
    </xf>
    <xf numFmtId="0" fontId="15" fillId="0" borderId="0" xfId="4" applyNumberFormat="1" applyFont="1" applyFill="1" applyBorder="1" applyAlignment="1">
      <alignment horizontal="center" vertical="center"/>
    </xf>
    <xf numFmtId="0" fontId="15" fillId="0" borderId="35" xfId="4" applyNumberFormat="1" applyFont="1" applyFill="1" applyBorder="1" applyAlignment="1">
      <alignment horizontal="center" vertical="center"/>
    </xf>
    <xf numFmtId="0" fontId="15" fillId="0" borderId="36" xfId="4" applyNumberFormat="1" applyFont="1" applyFill="1" applyBorder="1" applyAlignment="1">
      <alignment horizontal="center" vertical="center"/>
    </xf>
    <xf numFmtId="0" fontId="15" fillId="0" borderId="37" xfId="4" applyNumberFormat="1" applyFont="1" applyFill="1" applyBorder="1" applyAlignment="1">
      <alignment horizontal="center" vertical="center"/>
    </xf>
    <xf numFmtId="0" fontId="15" fillId="0" borderId="38" xfId="4" applyNumberFormat="1" applyFont="1" applyFill="1" applyBorder="1" applyAlignment="1">
      <alignment horizontal="center" vertical="center"/>
    </xf>
    <xf numFmtId="0" fontId="17" fillId="10" borderId="40" xfId="4" applyNumberFormat="1" applyFont="1" applyFill="1" applyBorder="1" applyAlignment="1">
      <alignment horizontal="center"/>
    </xf>
    <xf numFmtId="0" fontId="17" fillId="10" borderId="41" xfId="4" applyNumberFormat="1" applyFont="1" applyFill="1" applyBorder="1" applyAlignment="1">
      <alignment horizontal="center"/>
    </xf>
    <xf numFmtId="0" fontId="17" fillId="10" borderId="42" xfId="4" applyNumberFormat="1" applyFont="1" applyFill="1" applyBorder="1" applyAlignment="1">
      <alignment horizontal="center"/>
    </xf>
    <xf numFmtId="0" fontId="56" fillId="0" borderId="0" xfId="0" applyNumberFormat="1" applyFont="1" applyFill="1" applyBorder="1" applyAlignment="1">
      <alignment horizontal="center" vertical="center"/>
    </xf>
    <xf numFmtId="0" fontId="56" fillId="2" borderId="0" xfId="0" applyNumberFormat="1" applyFont="1" applyFill="1" applyBorder="1" applyAlignment="1">
      <alignment horizontal="center" vertical="center"/>
    </xf>
    <xf numFmtId="0" fontId="17" fillId="10" borderId="40" xfId="5" applyNumberFormat="1" applyFont="1" applyFill="1" applyBorder="1" applyAlignment="1">
      <alignment horizontal="left" vertical="center"/>
    </xf>
    <xf numFmtId="0" fontId="17" fillId="10" borderId="42" xfId="5" applyNumberFormat="1" applyFont="1" applyFill="1" applyBorder="1" applyAlignment="1">
      <alignment horizontal="left" vertical="center"/>
    </xf>
    <xf numFmtId="0" fontId="38" fillId="0" borderId="12" xfId="0" applyNumberFormat="1" applyFont="1" applyFill="1" applyBorder="1" applyAlignment="1">
      <alignment wrapText="1"/>
    </xf>
    <xf numFmtId="0" fontId="38" fillId="0" borderId="13" xfId="0" applyNumberFormat="1" applyFont="1" applyFill="1" applyBorder="1" applyAlignment="1">
      <alignment wrapText="1"/>
    </xf>
    <xf numFmtId="0" fontId="13" fillId="10" borderId="67" xfId="4" applyNumberFormat="1" applyFont="1" applyFill="1" applyBorder="1" applyAlignment="1">
      <alignment horizontal="center" wrapText="1"/>
    </xf>
    <xf numFmtId="0" fontId="13" fillId="10" borderId="0" xfId="4" applyNumberFormat="1" applyFont="1" applyFill="1" applyBorder="1" applyAlignment="1">
      <alignment horizontal="center" wrapText="1"/>
    </xf>
    <xf numFmtId="9" fontId="13" fillId="10" borderId="67" xfId="4" applyNumberFormat="1" applyFont="1" applyFill="1" applyBorder="1" applyAlignment="1">
      <alignment horizontal="center" vertical="center"/>
    </xf>
    <xf numFmtId="9" fontId="13" fillId="10" borderId="0" xfId="4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/>
    </xf>
    <xf numFmtId="0" fontId="20" fillId="3" borderId="40" xfId="4" applyNumberFormat="1" applyFont="1" applyFill="1" applyBorder="1" applyAlignment="1">
      <alignment horizontal="center"/>
    </xf>
    <xf numFmtId="0" fontId="20" fillId="3" borderId="42" xfId="4" applyNumberFormat="1" applyFont="1" applyFill="1" applyBorder="1" applyAlignment="1">
      <alignment horizontal="center"/>
    </xf>
  </cellXfs>
  <cellStyles count="11">
    <cellStyle name="Comma" xfId="1" builtinId="3"/>
    <cellStyle name="Currency" xfId="2" builtinId="4"/>
    <cellStyle name="Monétaire 2" xfId="3"/>
    <cellStyle name="Normal" xfId="0" builtinId="0"/>
    <cellStyle name="Normal 2" xfId="4"/>
    <cellStyle name="Normal 2 2" xfId="5"/>
    <cellStyle name="Normal 3" xfId="6"/>
    <cellStyle name="Normal 4" xfId="7"/>
    <cellStyle name="Normal_Book 2004 feuille sommaire 2" xfId="8"/>
    <cellStyle name="Percent" xfId="9" builtinId="5"/>
    <cellStyle name="Pourcentage 2" xfId="10"/>
  </cellStyles>
  <dxfs count="0"/>
  <tableStyles count="0" defaultTableStyle="TableStyleMedium2" defaultPivotStyle="PivotStyleLight16"/>
  <colors>
    <mruColors>
      <color rgb="FF4FACBE"/>
      <color rgb="FFA6A6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4.xml"/><Relationship Id="rId1" Type="http://schemas.openxmlformats.org/officeDocument/2006/relationships/themeOverride" Target="../theme/themeOverride7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7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ACTIFS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'Evolution effectifs'!$AA$15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'Evolution effectifs'!$AB$14:$AC$14</c:f>
              <c:strCache>
                <c:ptCount val="2"/>
                <c:pt idx="0">
                  <c:v>Effectif N-1</c:v>
                </c:pt>
                <c:pt idx="1">
                  <c:v>Effectif N</c:v>
                </c:pt>
              </c:strCache>
            </c:strRef>
          </c:cat>
          <c:val>
            <c:numRef>
              <c:f>'Evolution effectifs'!$AB$15:$AC$15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316489776"/>
        <c:axId val="-316487600"/>
      </c:barChart>
      <c:catAx>
        <c:axId val="-31648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16487600"/>
        <c:crosses val="autoZero"/>
        <c:auto val="1"/>
        <c:lblAlgn val="ctr"/>
        <c:lblOffset val="100"/>
        <c:noMultiLvlLbl val="0"/>
      </c:catAx>
      <c:valAx>
        <c:axId val="-31648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16489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</c:numCache>
            </c:numRef>
          </c:val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-316496848"/>
        <c:axId val="-316492496"/>
      </c:barChart>
      <c:catAx>
        <c:axId val="-316496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en-US"/>
          </a:p>
        </c:txPr>
        <c:crossAx val="-316492496"/>
        <c:crosses val="autoZero"/>
        <c:auto val="1"/>
        <c:lblAlgn val="ctr"/>
        <c:lblOffset val="100"/>
        <c:noMultiLvlLbl val="0"/>
      </c:catAx>
      <c:valAx>
        <c:axId val="-31649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16496848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Démographie!$F$14:$F$15</c:f>
              <c:numCache>
                <c:formatCode>#,##0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  <c:explosion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dPt>
            <c:idx val="10"/>
            <c:bubble3D val="0"/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numRef>
              <c:f>'Prestations Réglées Graph'!$E$67:$E$73</c:f>
              <c:numCache>
                <c:formatCode>General</c:formatCode>
                <c:ptCount val="7"/>
              </c:numCache>
            </c:numRef>
          </c:cat>
          <c:val>
            <c:numRef>
              <c:f>'Prestations Réglées Graph'!$F$67:$F$73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Graph'!$E$67:$E$73</c:f>
              <c:numCache>
                <c:formatCode>General</c:formatCode>
                <c:ptCount val="7"/>
              </c:numCache>
            </c:numRef>
          </c:cat>
          <c:val>
            <c:numRef>
              <c:f>'Prestations Réglées Graph'!$I$67:$I$73</c:f>
              <c:numCache>
                <c:formatCode>General</c:formatCode>
                <c:ptCount val="7"/>
              </c:numCache>
            </c:numRef>
          </c:val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ysClr val="window" lastClr="FFFFFF">
                <a:lumMod val="85000"/>
              </a:sysClr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Graph'!$E$67:$E$73</c:f>
              <c:numCache>
                <c:formatCode>General</c:formatCode>
                <c:ptCount val="7"/>
              </c:numCache>
            </c:numRef>
          </c:cat>
          <c:val>
            <c:numRef>
              <c:f>'Prestations Réglées Graph'!$J$67:$J$73</c:f>
              <c:numCache>
                <c:formatCode>General</c:formatCode>
                <c:ptCount val="7"/>
              </c:numCache>
            </c:numRef>
          </c:val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Graph'!$E$67:$E$73</c:f>
              <c:numCache>
                <c:formatCode>General</c:formatCode>
                <c:ptCount val="7"/>
              </c:numCache>
            </c:numRef>
          </c:cat>
          <c:val>
            <c:numRef>
              <c:f>'Prestations Réglées Graph'!$K$67:$K$73</c:f>
              <c:numCache>
                <c:formatCode>General</c:formatCode>
                <c:ptCount val="7"/>
              </c:numCache>
            </c:numRef>
          </c:val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rgbClr val="5B9BD5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Graph'!$E$67:$E$73</c:f>
              <c:numCache>
                <c:formatCode>General</c:formatCode>
                <c:ptCount val="7"/>
              </c:numCache>
            </c:numRef>
          </c:cat>
          <c:val>
            <c:numRef>
              <c:f>'Prestations Réglées Graph'!$L$67:$L$73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75661264"/>
        <c:axId val="-275668880"/>
      </c:barChart>
      <c:catAx>
        <c:axId val="-2756612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en-US"/>
          </a:p>
        </c:txPr>
        <c:crossAx val="-275668880"/>
        <c:crosses val="autoZero"/>
        <c:auto val="1"/>
        <c:lblAlgn val="ctr"/>
        <c:lblOffset val="100"/>
        <c:noMultiLvlLbl val="0"/>
      </c:catAx>
      <c:valAx>
        <c:axId val="-27566888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7566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Graph'!$E$67:$E$73</c:f>
              <c:numCache>
                <c:formatCode>General</c:formatCode>
                <c:ptCount val="7"/>
              </c:numCache>
            </c:numRef>
          </c:cat>
          <c:val>
            <c:numRef>
              <c:f>'Prestations Réglées Graph'!$M$67:$M$73</c:f>
              <c:numCache>
                <c:formatCode>General</c:formatCode>
                <c:ptCount val="7"/>
                <c:pt idx="0">
                  <c:v>53.837776856076317</c:v>
                </c:pt>
                <c:pt idx="1">
                  <c:v>121.10044585987259</c:v>
                </c:pt>
                <c:pt idx="2">
                  <c:v>95.139473684210529</c:v>
                </c:pt>
                <c:pt idx="3">
                  <c:v>7.944137306881049</c:v>
                </c:pt>
                <c:pt idx="4">
                  <c:v>1.6660813872209574</c:v>
                </c:pt>
                <c:pt idx="5">
                  <c:v>64.717581188997386</c:v>
                </c:pt>
                <c:pt idx="6">
                  <c:v>174.48095303237574</c:v>
                </c:pt>
              </c:numCache>
            </c:numRef>
          </c:val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Graph'!$E$67:$E$73</c:f>
              <c:numCache>
                <c:formatCode>General</c:formatCode>
                <c:ptCount val="7"/>
              </c:numCache>
            </c:numRef>
          </c:cat>
          <c:val>
            <c:numRef>
              <c:f>'Prestations Réglées Graph'!$N$67:$N$73</c:f>
              <c:numCache>
                <c:formatCode>General</c:formatCode>
                <c:ptCount val="7"/>
                <c:pt idx="0">
                  <c:v>42.267954853572796</c:v>
                </c:pt>
                <c:pt idx="1">
                  <c:v>380.42421401515168</c:v>
                </c:pt>
                <c:pt idx="2">
                  <c:v>14.040101230647082</c:v>
                </c:pt>
                <c:pt idx="3">
                  <c:v>6.8934911286505098</c:v>
                </c:pt>
                <c:pt idx="4">
                  <c:v>1.6501951405660062</c:v>
                </c:pt>
                <c:pt idx="5">
                  <c:v>54.838988467392973</c:v>
                </c:pt>
                <c:pt idx="6">
                  <c:v>106.76541114325191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75671056"/>
        <c:axId val="-275676496"/>
      </c:barChart>
      <c:catAx>
        <c:axId val="-27567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75676496"/>
        <c:crosses val="autoZero"/>
        <c:auto val="1"/>
        <c:lblAlgn val="ctr"/>
        <c:lblOffset val="100"/>
        <c:noMultiLvlLbl val="0"/>
      </c:catAx>
      <c:valAx>
        <c:axId val="-27567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7567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  <c:explosion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dPt>
            <c:idx val="10"/>
            <c:bubble3D val="0"/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numRef>
              <c:f>'Prestations Réglées Graph'!$E$67:$E$73</c:f>
              <c:numCache>
                <c:formatCode>General</c:formatCode>
                <c:ptCount val="7"/>
              </c:numCache>
            </c:numRef>
          </c:cat>
          <c:val>
            <c:numRef>
              <c:f>'Prestations Réglées Graph'!$G$67:$G$73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4042410221601564E-2"/>
          <c:y val="0.11574165669509436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772706452156965E-2"/>
                  <c:y val="4.53226984691654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consultation spécialist'!$J$24:$J$29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consultation spécialist'!$K$24:$K$29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'Quartil consultation spécialist'!$L$23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</a:t>
                    </a:r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consultation spécialist'!$J$24:$J$29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consultation spécialist'!$L$24:$L$29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75670512"/>
        <c:axId val="-275674320"/>
      </c:lineChart>
      <c:catAx>
        <c:axId val="-27567051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75674320"/>
        <c:crosses val="autoZero"/>
        <c:auto val="1"/>
        <c:lblAlgn val="ctr"/>
        <c:lblOffset val="100"/>
        <c:noMultiLvlLbl val="0"/>
      </c:catAx>
      <c:valAx>
        <c:axId val="-275674320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7567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'Focus Optique'!$J$12</c:f>
              <c:strCache>
                <c:ptCount val="1"/>
                <c:pt idx="0">
                  <c:v>Remboursement KERIALIS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'Focus Optique'!$C$13:$C$13</c:f>
              <c:numCache>
                <c:formatCode>General</c:formatCode>
                <c:ptCount val="1"/>
              </c:numCache>
            </c:numRef>
          </c:cat>
          <c:val>
            <c:numRef>
              <c:f>'Focus Optique'!$J$13:$J$13</c:f>
              <c:numCache>
                <c:formatCode>#\ ##0\ "€"</c:formatCode>
                <c:ptCount val="1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 rot="0" vert="horz"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 sz="1400" b="0" baseline="0">
                <a:solidFill>
                  <a:srgbClr val="4FACBE"/>
                </a:solidFill>
              </a:rPr>
              <a:t>Taux de fréquentation du Réseau de Carte Blanche</a:t>
            </a:r>
          </a:p>
        </c:rich>
      </c:tx>
      <c:overlay val="0"/>
    </c:title>
    <c:autoTitleDeleted val="0"/>
    <c:view3D>
      <c:rotX val="30"/>
      <c:rotY val="0"/>
      <c:depthPercent val="10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</c:spPr>
          </c:dPt>
          <c:dPt>
            <c:idx val="1"/>
            <c:bubble3D val="0"/>
            <c:spPr>
              <a:solidFill>
                <a:srgbClr val="A6A6A6"/>
              </a:solidFill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'Focus Réseau de soins Graph'!$C$60:$C$61</c:f>
              <c:strCache>
                <c:ptCount val="2"/>
                <c:pt idx="0">
                  <c:v>Réseau Carte Blanche</c:v>
                </c:pt>
                <c:pt idx="1">
                  <c:v>Hors Réseau</c:v>
                </c:pt>
              </c:strCache>
            </c:strRef>
          </c:cat>
          <c:val>
            <c:numRef>
              <c:f>'Focus Réseau de soins Graph'!$D$60:$D$61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rgbClr val="4FACBE"/>
                </a:solidFill>
              </a:rPr>
              <a:t>Taux de fréquentation du Réseau de Carte Blanche par</a:t>
            </a:r>
            <a:r>
              <a:rPr lang="fr-FR" baseline="0">
                <a:solidFill>
                  <a:srgbClr val="4FACBE"/>
                </a:solidFill>
              </a:rPr>
              <a:t> Acte</a:t>
            </a:r>
            <a:endParaRPr lang="fr-FR">
              <a:solidFill>
                <a:srgbClr val="4FACBE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'Focus Réseau de soins Graph'!$D$69</c:f>
              <c:strCache>
                <c:ptCount val="1"/>
                <c:pt idx="0">
                  <c:v>Réseau Carte Blanche</c:v>
                </c:pt>
              </c:strCache>
            </c:strRef>
          </c:tx>
          <c:spPr>
            <a:solidFill>
              <a:srgbClr val="002060"/>
            </a:solidFill>
            <a:ln w="9525" cap="flat" cmpd="sng" algn="ctr">
              <a:solidFill>
                <a:schemeClr val="accent2">
                  <a:lumMod val="50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50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  <a:ln w="9525" cap="flat" cmpd="sng" algn="ctr">
                <a:solidFill>
                  <a:schemeClr val="bg1"/>
                </a:solidFill>
                <a:round/>
              </a:ln>
              <a:effectLst/>
              <a:sp3d contourW="9525">
                <a:contourClr>
                  <a:schemeClr val="bg1"/>
                </a:contourClr>
              </a:sp3d>
            </c:spPr>
          </c:dPt>
          <c:dPt>
            <c:idx val="1"/>
            <c:invertIfNegative val="0"/>
            <c:bubble3D val="0"/>
            <c:spPr>
              <a:solidFill>
                <a:srgbClr val="002060"/>
              </a:solidFill>
              <a:ln w="9525" cap="flat" cmpd="sng" algn="ctr">
                <a:solidFill>
                  <a:schemeClr val="bg1"/>
                </a:solidFill>
                <a:round/>
              </a:ln>
              <a:effectLst/>
              <a:sp3d contourW="9525">
                <a:contourClr>
                  <a:schemeClr val="bg1"/>
                </a:contourClr>
              </a:sp3d>
            </c:spPr>
          </c:dPt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'Focus Réseau de soins Graph'!$C$70:$C$73</c:f>
              <c:strCache>
                <c:ptCount val="4"/>
                <c:pt idx="0">
                  <c:v>CHIRURGIE DE L'ŒIL</c:v>
                </c:pt>
                <c:pt idx="1">
                  <c:v>LENTILLES</c:v>
                </c:pt>
                <c:pt idx="2">
                  <c:v>MONTURE</c:v>
                </c:pt>
                <c:pt idx="3">
                  <c:v>MONTURE + VERRES</c:v>
                </c:pt>
              </c:strCache>
            </c:strRef>
          </c:cat>
          <c:val>
            <c:numRef>
              <c:f>'Focus Réseau de soins Graph'!$D$70:$D$73</c:f>
              <c:numCache>
                <c:formatCode>0%</c:formatCode>
                <c:ptCount val="4"/>
              </c:numCache>
            </c:numRef>
          </c:val>
        </c:ser>
        <c:ser>
          <c:idx val="1"/>
          <c:order val="1"/>
          <c:tx>
            <c:strRef>
              <c:f>'Focus Réseau de soins Graph'!$E$69</c:f>
              <c:strCache>
                <c:ptCount val="1"/>
                <c:pt idx="0">
                  <c:v>Hors Réseau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9525" cap="flat" cmpd="sng" algn="ctr">
              <a:solidFill>
                <a:schemeClr val="bg2"/>
              </a:solidFill>
              <a:round/>
            </a:ln>
            <a:effectLst/>
            <a:sp3d contourW="9525">
              <a:contourClr>
                <a:schemeClr val="bg2"/>
              </a:contourClr>
            </a:sp3d>
          </c:spPr>
          <c:invertIfNegative val="0"/>
          <c:cat>
            <c:strRef>
              <c:f>'Focus Réseau de soins Graph'!$C$70:$C$73</c:f>
              <c:strCache>
                <c:ptCount val="4"/>
                <c:pt idx="0">
                  <c:v>CHIRURGIE DE L'ŒIL</c:v>
                </c:pt>
                <c:pt idx="1">
                  <c:v>LENTILLES</c:v>
                </c:pt>
                <c:pt idx="2">
                  <c:v>MONTURE</c:v>
                </c:pt>
                <c:pt idx="3">
                  <c:v>MONTURE + VERRES</c:v>
                </c:pt>
              </c:strCache>
            </c:strRef>
          </c:cat>
          <c:val>
            <c:numRef>
              <c:f>'Focus Réseau de soins Graph'!$E$70:$E$73</c:f>
              <c:numCache>
                <c:formatCode>0%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275661808"/>
        <c:axId val="-275673232"/>
        <c:axId val="0"/>
      </c:bar3DChart>
      <c:catAx>
        <c:axId val="-275661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75673232"/>
        <c:crosses val="autoZero"/>
        <c:auto val="1"/>
        <c:lblAlgn val="ctr"/>
        <c:lblOffset val="100"/>
        <c:noMultiLvlLbl val="0"/>
      </c:catAx>
      <c:valAx>
        <c:axId val="-27567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75661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Comparatif des Frais</a:t>
            </a:r>
            <a:r>
              <a:rPr lang="fr-FR" baseline="0"/>
              <a:t> Réels Moyens</a:t>
            </a:r>
            <a:endParaRPr lang="fr-FR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'Focus Réseau de soins Graph'!$F$69</c:f>
              <c:strCache>
                <c:ptCount val="1"/>
                <c:pt idx="0">
                  <c:v>Réseau Carte Blanche</c:v>
                </c:pt>
              </c:strCache>
            </c:strRef>
          </c:tx>
          <c:spPr>
            <a:solidFill>
              <a:srgbClr val="002060"/>
            </a:solidFill>
            <a:ln w="9525" cap="flat" cmpd="sng" algn="ctr">
              <a:solidFill>
                <a:schemeClr val="bg1"/>
              </a:solidFill>
              <a:round/>
            </a:ln>
            <a:effectLst/>
            <a:sp3d contourW="9525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numFmt formatCode="#,##0\ &quot;€&quot;" sourceLinked="0"/>
            <c:spPr>
              <a:solidFill>
                <a:schemeClr val="lt1"/>
              </a:solidFill>
              <a:ln w="12700" cap="flat" cmpd="sng" algn="ctr">
                <a:solidFill>
                  <a:srgbClr val="002060"/>
                </a:solidFill>
                <a:prstDash val="solid"/>
                <a:miter lim="800000"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'Focus Réseau de soins Graph'!$C$70:$C$73</c:f>
              <c:strCache>
                <c:ptCount val="4"/>
                <c:pt idx="0">
                  <c:v>CHIRURGIE DE L'ŒIL</c:v>
                </c:pt>
                <c:pt idx="1">
                  <c:v>LENTILLES</c:v>
                </c:pt>
                <c:pt idx="2">
                  <c:v>MONTURE</c:v>
                </c:pt>
                <c:pt idx="3">
                  <c:v>MONTURE + VERRES</c:v>
                </c:pt>
              </c:strCache>
            </c:strRef>
          </c:cat>
          <c:val>
            <c:numRef>
              <c:f>'Focus Réseau de soins Graph'!$F$70:$F$73</c:f>
              <c:numCache>
                <c:formatCode>_("€"* #\ ##0.00_);_("€"* \(#\ ##0.00\);_("€"* "-"??_);_(@_)</c:formatCode>
                <c:ptCount val="4"/>
              </c:numCache>
            </c:numRef>
          </c:val>
        </c:ser>
        <c:ser>
          <c:idx val="1"/>
          <c:order val="1"/>
          <c:tx>
            <c:strRef>
              <c:f>'Focus Réseau de soins Graph'!$G$69</c:f>
              <c:strCache>
                <c:ptCount val="1"/>
                <c:pt idx="0">
                  <c:v>Moyen</c:v>
                </c:pt>
              </c:strCache>
            </c:strRef>
          </c:tx>
          <c:spPr>
            <a:solidFill>
              <a:srgbClr val="FFC000"/>
            </a:solidFill>
            <a:ln w="9525" cap="flat" cmpd="sng" algn="ctr">
              <a:solidFill>
                <a:schemeClr val="bg1"/>
              </a:solidFill>
              <a:round/>
            </a:ln>
            <a:effectLst/>
            <a:sp3d contourW="9525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numFmt formatCode="#,##0\ &quot;€&quot;" sourceLinked="0"/>
            <c:spPr>
              <a:noFill/>
              <a:ln w="12700">
                <a:solidFill>
                  <a:srgbClr val="FFC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'Focus Réseau de soins Graph'!$C$70:$C$73</c:f>
              <c:strCache>
                <c:ptCount val="4"/>
                <c:pt idx="0">
                  <c:v>CHIRURGIE DE L'ŒIL</c:v>
                </c:pt>
                <c:pt idx="1">
                  <c:v>LENTILLES</c:v>
                </c:pt>
                <c:pt idx="2">
                  <c:v>MONTURE</c:v>
                </c:pt>
                <c:pt idx="3">
                  <c:v>MONTURE + VERRES</c:v>
                </c:pt>
              </c:strCache>
            </c:strRef>
          </c:cat>
          <c:val>
            <c:numRef>
              <c:f>'Focus Réseau de soins Graph'!$G$70:$G$73</c:f>
              <c:numCache>
                <c:formatCode>_("€"* #\ ##0.00_);_("€"* \(#\ ##0.00\);_("€"* "-"??_);_(@_)</c:formatCode>
                <c:ptCount val="4"/>
              </c:numCache>
            </c:numRef>
          </c:val>
        </c:ser>
        <c:ser>
          <c:idx val="2"/>
          <c:order val="2"/>
          <c:tx>
            <c:strRef>
              <c:f>'Focus Réseau de soins Graph'!$H$69</c:f>
              <c:strCache>
                <c:ptCount val="1"/>
                <c:pt idx="0">
                  <c:v>Hors Réseau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9525" cap="flat" cmpd="sng" algn="ctr">
              <a:solidFill>
                <a:schemeClr val="bg2"/>
              </a:solidFill>
              <a:round/>
            </a:ln>
            <a:effectLst/>
            <a:sp3d contourW="9525">
              <a:contourClr>
                <a:schemeClr val="bg2"/>
              </a:contourClr>
            </a:sp3d>
          </c:spPr>
          <c:invertIfNegative val="0"/>
          <c:dLbls>
            <c:numFmt formatCode="#,##0\ &quot;€&quot;" sourceLinked="0"/>
            <c:spPr>
              <a:noFill/>
              <a:ln w="12700">
                <a:solidFill>
                  <a:schemeClr val="bg1">
                    <a:lumMod val="6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'Focus Réseau de soins Graph'!$C$70:$C$73</c:f>
              <c:strCache>
                <c:ptCount val="4"/>
                <c:pt idx="0">
                  <c:v>CHIRURGIE DE L'ŒIL</c:v>
                </c:pt>
                <c:pt idx="1">
                  <c:v>LENTILLES</c:v>
                </c:pt>
                <c:pt idx="2">
                  <c:v>MONTURE</c:v>
                </c:pt>
                <c:pt idx="3">
                  <c:v>MONTURE + VERRES</c:v>
                </c:pt>
              </c:strCache>
            </c:strRef>
          </c:cat>
          <c:val>
            <c:numRef>
              <c:f>'Focus Réseau de soins Graph'!$H$70:$H$73</c:f>
              <c:numCache>
                <c:formatCode>_("€"* #\ ##0.00_);_("€"* \(#\ ##0.00\);_("€"* "-"??_);_(@_)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275671600"/>
        <c:axId val="-242568208"/>
        <c:axId val="0"/>
      </c:bar3DChart>
      <c:catAx>
        <c:axId val="-27567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2568208"/>
        <c:crosses val="autoZero"/>
        <c:auto val="1"/>
        <c:lblAlgn val="ctr"/>
        <c:lblOffset val="100"/>
        <c:noMultiLvlLbl val="0"/>
      </c:catAx>
      <c:valAx>
        <c:axId val="-24256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\ ##0.00_);_(&quot;€&quot;* \(#\ 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75671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MONTURE + VERRES</a:t>
            </a:r>
            <a:r>
              <a:rPr lang="fr-FR" baseline="0">
                <a:solidFill>
                  <a:srgbClr val="4FACBE"/>
                </a:solidFill>
              </a:rPr>
              <a:t> </a:t>
            </a:r>
            <a:r>
              <a:rPr lang="fr-FR">
                <a:solidFill>
                  <a:srgbClr val="4FACBE"/>
                </a:solidFill>
              </a:rPr>
              <a:t>ADULTE ET ENFANT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monture'!$F$22</c:f>
              <c:strCache>
                <c:ptCount val="1"/>
                <c:pt idx="0">
                  <c:v>MONTURE + VERRES ADULTE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monture'!$F$26:$F$31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'Quartil monture'!$G$25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monture'!$G$26:$G$31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'Quartil monture'!$M$22</c:f>
              <c:strCache>
                <c:ptCount val="1"/>
                <c:pt idx="0">
                  <c:v>MONTURE + VERRES ENFANT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monture'!$L$26:$L$31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'Quartil monture'!$M$25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monture'!$M$26:$M$31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42580176"/>
        <c:axId val="-242567664"/>
      </c:lineChart>
      <c:catAx>
        <c:axId val="-24258017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2567664"/>
        <c:crosses val="autoZero"/>
        <c:auto val="1"/>
        <c:lblAlgn val="ctr"/>
        <c:lblOffset val="100"/>
        <c:noMultiLvlLbl val="0"/>
      </c:catAx>
      <c:valAx>
        <c:axId val="-242567664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2580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228884976758154"/>
          <c:y val="0.60519945364027383"/>
          <c:w val="0.13712507771581797"/>
          <c:h val="0.1092210569169103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'Focus Dentaire'!$J$12</c:f>
              <c:strCache>
                <c:ptCount val="1"/>
                <c:pt idx="0">
                  <c:v>Remboursement KERIALIS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'Focus Dentaire'!$D$13:$D$20</c:f>
              <c:strCache>
                <c:ptCount val="8"/>
                <c:pt idx="0">
                  <c:v>SOINS DENTAIRES</c:v>
                </c:pt>
                <c:pt idx="1">
                  <c:v>PROTHESES DENTAIRES ACCEPTEES</c:v>
                </c:pt>
                <c:pt idx="2">
                  <c:v>PROTHESES DENTAIRES REFUSEES</c:v>
                </c:pt>
                <c:pt idx="3">
                  <c:v>IMPLANTOLOGIE</c:v>
                </c:pt>
                <c:pt idx="4">
                  <c:v>ORTHODONTIE ACCEPTEE</c:v>
                </c:pt>
                <c:pt idx="5">
                  <c:v>ORTHODONTIE REFUSEE</c:v>
                </c:pt>
                <c:pt idx="6">
                  <c:v>PARODONTOLOGIE ACCEPTEE</c:v>
                </c:pt>
                <c:pt idx="7">
                  <c:v>PARODONTOLOGIE REFUSEE</c:v>
                </c:pt>
              </c:strCache>
            </c:strRef>
          </c:cat>
          <c:val>
            <c:numRef>
              <c:f>'Focus Dentaire'!$J$13:$J$20</c:f>
              <c:numCache>
                <c:formatCode>#\ ##0\ "€"</c:formatCode>
                <c:ptCount val="8"/>
                <c:pt idx="0">
                  <c:v>41800.920000000195</c:v>
                </c:pt>
                <c:pt idx="1">
                  <c:v>197292.97</c:v>
                </c:pt>
                <c:pt idx="2">
                  <c:v>4882.6000000000004</c:v>
                </c:pt>
                <c:pt idx="3">
                  <c:v>28100</c:v>
                </c:pt>
                <c:pt idx="4">
                  <c:v>82630.550000000017</c:v>
                </c:pt>
                <c:pt idx="5">
                  <c:v>1925</c:v>
                </c:pt>
                <c:pt idx="6">
                  <c:v>530.03</c:v>
                </c:pt>
                <c:pt idx="7">
                  <c:v>7521.5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PROTHESES DENTAIRES ACCEPTEES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1574165669509436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772706452156965E-2"/>
                  <c:y val="4.53226984691654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1">
                <c:v>25% des actes</c:v>
              </c:pt>
              <c:pt idx="2">
                <c:v>50% des actes</c:v>
              </c:pt>
              <c:pt idx="3">
                <c:v>75% des actes</c:v>
              </c:pt>
              <c:pt idx="4">
                <c:v>90% des actes</c:v>
              </c:pt>
            </c:strLit>
          </c:cat>
          <c:val>
            <c:numRef>
              <c:f>'Quartil prothèse dentaire'!$J$22:$J$27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'Quartil prothèse dentaire'!$K$21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/>
                  <a:lstStyle/>
                  <a:p>
                    <a:pPr>
                      <a:defRPr sz="1200" b="1">
                        <a:solidFill>
                          <a:srgbClr val="FFC000"/>
                        </a:solidFill>
                      </a:defRPr>
                    </a:pPr>
                    <a:r>
                      <a:rPr lang="en-US" sz="1200" b="1">
                        <a:solidFill>
                          <a:srgbClr val="FFC000"/>
                        </a:solidFill>
                      </a:rPr>
                      <a:t> Moyenne </a:t>
                    </a:r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1">
                <c:v>25% des actes</c:v>
              </c:pt>
              <c:pt idx="2">
                <c:v>50% des actes</c:v>
              </c:pt>
              <c:pt idx="3">
                <c:v>75% des actes</c:v>
              </c:pt>
              <c:pt idx="4">
                <c:v>90% des actes</c:v>
              </c:pt>
            </c:strLit>
          </c:cat>
          <c:val>
            <c:numRef>
              <c:f>'Quartil prothèse dentaire'!$K$22:$K$27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42567120"/>
        <c:axId val="-242566576"/>
      </c:lineChart>
      <c:catAx>
        <c:axId val="-24256712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2566576"/>
        <c:crosses val="autoZero"/>
        <c:auto val="1"/>
        <c:lblAlgn val="ctr"/>
        <c:lblOffset val="100"/>
        <c:noMultiLvlLbl val="0"/>
      </c:catAx>
      <c:valAx>
        <c:axId val="-242566576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256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/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/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242047</xdr:colOff>
      <xdr:row>34</xdr:row>
      <xdr:rowOff>95250</xdr:rowOff>
    </xdr:from>
    <xdr:to>
      <xdr:col>8</xdr:col>
      <xdr:colOff>174812</xdr:colOff>
      <xdr:row>50</xdr:row>
      <xdr:rowOff>178735</xdr:rowOff>
    </xdr:to>
    <xdr:graphicFrame macro="">
      <xdr:nvGraphicFramePr>
        <xdr:cNvPr id="6" name="EVOLUTI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29</xdr:row>
      <xdr:rowOff>100853</xdr:rowOff>
    </xdr:to>
    <xdr:graphicFrame macro="">
      <xdr:nvGraphicFramePr>
        <xdr:cNvPr id="4" name="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209550</xdr:colOff>
      <xdr:row>2</xdr:row>
      <xdr:rowOff>28575</xdr:rowOff>
    </xdr:from>
    <xdr:to>
      <xdr:col>15</xdr:col>
      <xdr:colOff>742950</xdr:colOff>
      <xdr:row>4</xdr:row>
      <xdr:rowOff>180975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30275" y="409575"/>
          <a:ext cx="530678" cy="5306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16</xdr:row>
      <xdr:rowOff>180975</xdr:rowOff>
    </xdr:from>
    <xdr:to>
      <xdr:col>16</xdr:col>
      <xdr:colOff>376239</xdr:colOff>
      <xdr:row>39</xdr:row>
      <xdr:rowOff>4763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152400</xdr:colOff>
      <xdr:row>17</xdr:row>
      <xdr:rowOff>0</xdr:rowOff>
    </xdr:from>
    <xdr:to>
      <xdr:col>6</xdr:col>
      <xdr:colOff>123825</xdr:colOff>
      <xdr:row>18</xdr:row>
      <xdr:rowOff>171450</xdr:rowOff>
    </xdr:to>
    <xdr:sp macro="" textlink="">
      <xdr:nvSpPr>
        <xdr:cNvPr id="3" name="ZoneTexte 2"/>
        <xdr:cNvSpPr txBox="1"/>
      </xdr:nvSpPr>
      <xdr:spPr>
        <a:xfrm>
          <a:off x="2152650" y="3600450"/>
          <a:ext cx="149542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Frais réels</a:t>
          </a:r>
        </a:p>
      </xdr:txBody>
    </xdr:sp>
    <xdr:clientData/>
  </xdr:twoCellAnchor>
  <xdr:twoCellAnchor editAs="oneCell">
    <xdr:from>
      <xdr:col>17</xdr:col>
      <xdr:colOff>657225</xdr:colOff>
      <xdr:row>2</xdr:row>
      <xdr:rowOff>57150</xdr:rowOff>
    </xdr:from>
    <xdr:to>
      <xdr:col>18</xdr:col>
      <xdr:colOff>66675</xdr:colOff>
      <xdr:row>5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25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0.09174</cdr:x>
      <cdr:y>0.79162</cdr:y>
    </cdr:from>
    <cdr:to>
      <cdr:x>0.18905</cdr:x>
      <cdr:y>0.85277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862014" y="3328987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  <cdr:relSizeAnchor xmlns:cdr="http://schemas.openxmlformats.org/drawingml/2006/chartDrawing">
    <cdr:from>
      <cdr:x>0.09174</cdr:x>
      <cdr:y>0.79162</cdr:y>
    </cdr:from>
    <cdr:to>
      <cdr:x>0.18905</cdr:x>
      <cdr:y>0.85277</cdr:y>
    </cdr:to>
    <cdr:sp macro="" textlink="">
      <cdr:nvSpPr>
        <cdr:cNvPr id="4" name="ZoneTexte 1"/>
        <cdr:cNvSpPr txBox="1"/>
      </cdr:nvSpPr>
      <cdr:spPr>
        <a:xfrm xmlns:a="http://schemas.openxmlformats.org/drawingml/2006/main">
          <a:off x="862014" y="3328987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5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257175</xdr:colOff>
      <xdr:row>30</xdr:row>
      <xdr:rowOff>57150</xdr:rowOff>
    </xdr:from>
    <xdr:to>
      <xdr:col>14</xdr:col>
      <xdr:colOff>1028700</xdr:colOff>
      <xdr:row>49</xdr:row>
      <xdr:rowOff>95250</xdr:rowOff>
    </xdr:to>
    <xdr:graphicFrame macro="">
      <xdr:nvGraphicFramePr>
        <xdr:cNvPr id="4" name="GraphOptiqu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564385</xdr:colOff>
      <xdr:row>2</xdr:row>
      <xdr:rowOff>16515</xdr:rowOff>
    </xdr:from>
    <xdr:to>
      <xdr:col>15</xdr:col>
      <xdr:colOff>47625</xdr:colOff>
      <xdr:row>4</xdr:row>
      <xdr:rowOff>161925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7410" y="397515"/>
          <a:ext cx="530678" cy="53067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659635</xdr:colOff>
      <xdr:row>2</xdr:row>
      <xdr:rowOff>102240</xdr:rowOff>
    </xdr:from>
    <xdr:to>
      <xdr:col>15</xdr:col>
      <xdr:colOff>47625</xdr:colOff>
      <xdr:row>5</xdr:row>
      <xdr:rowOff>57150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2160" y="483240"/>
          <a:ext cx="530678" cy="53067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285750</xdr:colOff>
      <xdr:row>10</xdr:row>
      <xdr:rowOff>52387</xdr:rowOff>
    </xdr:from>
    <xdr:to>
      <xdr:col>5</xdr:col>
      <xdr:colOff>276225</xdr:colOff>
      <xdr:row>24</xdr:row>
      <xdr:rowOff>128587</xdr:rowOff>
    </xdr:to>
    <xdr:graphicFrame macro="">
      <xdr:nvGraphicFramePr>
        <xdr:cNvPr id="3" name="FOCUS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733425</xdr:colOff>
      <xdr:row>29</xdr:row>
      <xdr:rowOff>47625</xdr:rowOff>
    </xdr:from>
    <xdr:to>
      <xdr:col>5</xdr:col>
      <xdr:colOff>1019175</xdr:colOff>
      <xdr:row>43</xdr:row>
      <xdr:rowOff>123825</xdr:rowOff>
    </xdr:to>
    <xdr:graphicFrame macro="">
      <xdr:nvGraphicFramePr>
        <xdr:cNvPr id="4" name="FOCUS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409574</xdr:colOff>
      <xdr:row>15</xdr:row>
      <xdr:rowOff>180975</xdr:rowOff>
    </xdr:from>
    <xdr:to>
      <xdr:col>14</xdr:col>
      <xdr:colOff>838199</xdr:colOff>
      <xdr:row>35</xdr:row>
      <xdr:rowOff>47625</xdr:rowOff>
    </xdr:to>
    <xdr:graphicFrame macro="">
      <xdr:nvGraphicFramePr>
        <xdr:cNvPr id="5" name="FOCUS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764410</xdr:colOff>
      <xdr:row>2</xdr:row>
      <xdr:rowOff>92715</xdr:rowOff>
    </xdr:from>
    <xdr:to>
      <xdr:col>15</xdr:col>
      <xdr:colOff>57150</xdr:colOff>
      <xdr:row>5</xdr:row>
      <xdr:rowOff>47625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6935" y="473715"/>
          <a:ext cx="530678" cy="53067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514349</xdr:colOff>
      <xdr:row>15</xdr:row>
      <xdr:rowOff>95250</xdr:rowOff>
    </xdr:from>
    <xdr:to>
      <xdr:col>16</xdr:col>
      <xdr:colOff>142874</xdr:colOff>
      <xdr:row>37</xdr:row>
      <xdr:rowOff>109538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752475</xdr:colOff>
      <xdr:row>2</xdr:row>
      <xdr:rowOff>28575</xdr:rowOff>
    </xdr:from>
    <xdr:to>
      <xdr:col>18</xdr:col>
      <xdr:colOff>47625</xdr:colOff>
      <xdr:row>4</xdr:row>
      <xdr:rowOff>180975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25475" y="409575"/>
          <a:ext cx="530678" cy="530678"/>
        </a:xfrm>
        <a:prstGeom prst="rect">
          <a:avLst/>
        </a:prstGeom>
      </xdr:spPr>
    </xdr:pic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0.00261</cdr:x>
      <cdr:y>0.00442</cdr:y>
    </cdr:from>
    <cdr:to>
      <cdr:x>0.09296</cdr:x>
      <cdr:y>0.09061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28576" y="19050"/>
          <a:ext cx="990600" cy="3714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100"/>
            <a:t>Frais réels</a:t>
          </a: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238124</xdr:colOff>
      <xdr:row>32</xdr:row>
      <xdr:rowOff>123825</xdr:rowOff>
    </xdr:from>
    <xdr:to>
      <xdr:col>10</xdr:col>
      <xdr:colOff>914399</xdr:colOff>
      <xdr:row>46</xdr:row>
      <xdr:rowOff>0</xdr:rowOff>
    </xdr:to>
    <xdr:graphicFrame macro="">
      <xdr:nvGraphicFramePr>
        <xdr:cNvPr id="4" name="GraphDentair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550977</xdr:colOff>
      <xdr:row>2</xdr:row>
      <xdr:rowOff>66675</xdr:rowOff>
    </xdr:from>
    <xdr:to>
      <xdr:col>15</xdr:col>
      <xdr:colOff>38100</xdr:colOff>
      <xdr:row>5</xdr:row>
      <xdr:rowOff>28575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14477" y="447675"/>
          <a:ext cx="530678" cy="53067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161925</xdr:colOff>
      <xdr:row>16</xdr:row>
      <xdr:rowOff>114300</xdr:rowOff>
    </xdr:from>
    <xdr:to>
      <xdr:col>15</xdr:col>
      <xdr:colOff>366714</xdr:colOff>
      <xdr:row>38</xdr:row>
      <xdr:rowOff>23813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161925</xdr:colOff>
      <xdr:row>16</xdr:row>
      <xdr:rowOff>123825</xdr:rowOff>
    </xdr:from>
    <xdr:to>
      <xdr:col>6</xdr:col>
      <xdr:colOff>323850</xdr:colOff>
      <xdr:row>17</xdr:row>
      <xdr:rowOff>228600</xdr:rowOff>
    </xdr:to>
    <xdr:sp macro="" textlink="">
      <xdr:nvSpPr>
        <xdr:cNvPr id="2" name="ZoneTexte 1"/>
        <xdr:cNvSpPr txBox="1"/>
      </xdr:nvSpPr>
      <xdr:spPr>
        <a:xfrm>
          <a:off x="2638425" y="3429000"/>
          <a:ext cx="168592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Frais réels</a:t>
          </a:r>
        </a:p>
      </xdr:txBody>
    </xdr:sp>
    <xdr:clientData/>
  </xdr:twoCellAnchor>
  <xdr:twoCellAnchor editAs="oneCell">
    <xdr:from>
      <xdr:col>17</xdr:col>
      <xdr:colOff>752475</xdr:colOff>
      <xdr:row>2</xdr:row>
      <xdr:rowOff>85725</xdr:rowOff>
    </xdr:from>
    <xdr:to>
      <xdr:col>18</xdr:col>
      <xdr:colOff>47625</xdr:colOff>
      <xdr:row>5</xdr:row>
      <xdr:rowOff>47625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25475" y="466725"/>
          <a:ext cx="530678" cy="530678"/>
        </a:xfrm>
        <a:prstGeom prst="rect">
          <a:avLst/>
        </a:prstGeom>
      </xdr:spPr>
    </xdr:pic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  <cdr:relSizeAnchor xmlns:cdr="http://schemas.openxmlformats.org/drawingml/2006/chartDrawing">
    <cdr:from>
      <cdr:x>0.06955</cdr:x>
      <cdr:y>0.71008</cdr:y>
    </cdr:from>
    <cdr:to>
      <cdr:x>0.16686</cdr:x>
      <cdr:y>0.77123</cdr:y>
    </cdr:to>
    <cdr:sp macro="" textlink="">
      <cdr:nvSpPr>
        <cdr:cNvPr id="4" name="ZoneTexte 1"/>
        <cdr:cNvSpPr txBox="1"/>
      </cdr:nvSpPr>
      <cdr:spPr>
        <a:xfrm xmlns:a="http://schemas.openxmlformats.org/drawingml/2006/main">
          <a:off x="597252" y="2986090"/>
          <a:ext cx="835580" cy="2571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5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theme="4" tint="0.79998168889431442"/>
  </sheetPr>
  <dimension ref="A1:AE41"/>
  <sheetViews>
    <sheetView showGridLines="0" zoomScale="70" zoomScaleNormal="70" workbookViewId="0">
      <selection activeCell="B4" sqref="A1:B4"/>
    </sheetView>
  </sheetViews>
  <sheetFormatPr defaultColWidth="11.42578125" defaultRowHeight="15"/>
  <cols>
    <col min="1" max="1" width="2.85546875" style="180" customWidth="1"/>
    <col min="2" max="2" width="4.28515625" style="180" customWidth="1"/>
    <col min="3" max="3" width="11.42578125" style="180" customWidth="1"/>
    <col min="4" max="4" width="13.7109375" style="180" customWidth="1"/>
    <col min="5" max="9" width="11.42578125" style="180" customWidth="1"/>
    <col min="10" max="11" width="22.85546875" style="180" customWidth="1"/>
    <col min="12" max="18" width="11.42578125" style="180" customWidth="1"/>
    <col min="19" max="19" width="4.28515625" style="180" customWidth="1"/>
    <col min="20" max="20" width="2.85546875" style="180" customWidth="1"/>
    <col min="21" max="24" width="11.42578125" style="180" customWidth="1"/>
    <col min="25" max="16384" width="11.42578125" style="180"/>
  </cols>
  <sheetData>
    <row r="1" spans="2:31">
      <c r="AD1" s="180" t="s">
        <v>56</v>
      </c>
      <c r="AE1" s="180" t="s">
        <v>57</v>
      </c>
    </row>
    <row r="2" spans="2:31">
      <c r="B2" s="181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3"/>
      <c r="AD2" s="180" t="s">
        <v>58</v>
      </c>
      <c r="AE2" s="180" t="s">
        <v>58</v>
      </c>
    </row>
    <row r="3" spans="2:31">
      <c r="B3" s="184"/>
      <c r="S3" s="185"/>
    </row>
    <row r="4" spans="2:31">
      <c r="B4" s="184"/>
      <c r="S4" s="185"/>
    </row>
    <row r="5" spans="2:31">
      <c r="B5" s="184"/>
      <c r="S5" s="185"/>
    </row>
    <row r="6" spans="2:31">
      <c r="B6" s="184"/>
      <c r="S6" s="185"/>
    </row>
    <row r="7" spans="2:31">
      <c r="B7" s="184"/>
      <c r="S7" s="185"/>
    </row>
    <row r="8" spans="2:31">
      <c r="B8" s="184"/>
      <c r="S8" s="185"/>
    </row>
    <row r="9" spans="2:31" ht="45">
      <c r="B9" s="184"/>
      <c r="C9" s="186" t="s">
        <v>59</v>
      </c>
      <c r="D9" s="187"/>
      <c r="E9" s="187"/>
      <c r="F9" s="187"/>
      <c r="G9" s="187"/>
      <c r="H9" s="187"/>
      <c r="I9" s="187"/>
      <c r="S9" s="185"/>
    </row>
    <row r="10" spans="2:31" ht="45">
      <c r="B10" s="184"/>
      <c r="C10" s="186" t="s">
        <v>60</v>
      </c>
      <c r="D10" s="187"/>
      <c r="E10" s="187"/>
      <c r="F10" s="187"/>
      <c r="G10" s="187"/>
      <c r="H10" s="187"/>
      <c r="I10" s="187"/>
      <c r="S10" s="185"/>
    </row>
    <row r="11" spans="2:31">
      <c r="B11" s="184"/>
      <c r="C11" s="187"/>
      <c r="D11" s="187"/>
      <c r="E11" s="187"/>
      <c r="F11" s="187"/>
      <c r="G11" s="187"/>
      <c r="H11" s="187"/>
      <c r="I11" s="187"/>
      <c r="S11" s="185"/>
    </row>
    <row r="12" spans="2:31" ht="15" customHeight="1">
      <c r="B12" s="184"/>
      <c r="C12" s="187"/>
      <c r="D12" s="187"/>
      <c r="E12" s="187"/>
      <c r="F12" s="187"/>
      <c r="G12" s="187"/>
      <c r="H12" s="187"/>
      <c r="I12" s="187"/>
      <c r="J12" s="188"/>
      <c r="S12" s="185"/>
    </row>
    <row r="13" spans="2:31" ht="90" customHeight="1">
      <c r="B13" s="189"/>
      <c r="C13" s="316"/>
      <c r="D13" s="316"/>
      <c r="E13" s="316"/>
      <c r="F13" s="316"/>
      <c r="G13" s="316"/>
      <c r="H13" s="316"/>
      <c r="I13" s="316"/>
      <c r="J13" s="316"/>
      <c r="K13" s="316"/>
      <c r="L13" s="316"/>
      <c r="M13" s="316"/>
      <c r="N13" s="316"/>
      <c r="O13" s="316"/>
      <c r="P13" s="316"/>
      <c r="Q13" s="316"/>
      <c r="R13" s="316"/>
      <c r="S13" s="190"/>
    </row>
    <row r="14" spans="2:31">
      <c r="B14" s="184"/>
      <c r="C14" s="187"/>
      <c r="D14" s="187"/>
      <c r="E14" s="187"/>
      <c r="F14" s="187"/>
      <c r="G14" s="187"/>
      <c r="H14" s="187"/>
      <c r="I14" s="187"/>
      <c r="S14" s="185"/>
    </row>
    <row r="15" spans="2:31">
      <c r="B15" s="184"/>
      <c r="C15" s="187"/>
      <c r="D15" s="187"/>
      <c r="E15" s="187"/>
      <c r="F15" s="187"/>
      <c r="G15" s="187"/>
      <c r="H15" s="187"/>
      <c r="I15" s="187"/>
      <c r="S15" s="185"/>
    </row>
    <row r="16" spans="2:31">
      <c r="B16" s="184"/>
      <c r="S16" s="185"/>
    </row>
    <row r="17" spans="1:19">
      <c r="B17" s="184"/>
      <c r="S17" s="185"/>
    </row>
    <row r="18" spans="1:19">
      <c r="B18" s="184"/>
      <c r="S18" s="185"/>
    </row>
    <row r="19" spans="1:19" s="195" customFormat="1" ht="67.5" customHeight="1">
      <c r="A19" s="191"/>
      <c r="B19" s="192"/>
      <c r="C19" s="193"/>
      <c r="D19" s="194" t="s">
        <v>61</v>
      </c>
      <c r="F19" s="193" t="s">
        <v>62</v>
      </c>
      <c r="G19" s="317" t="s">
        <v>62</v>
      </c>
      <c r="H19" s="317"/>
      <c r="I19" s="317"/>
      <c r="J19" s="317"/>
      <c r="K19" s="317"/>
      <c r="L19" s="317"/>
      <c r="M19" s="317"/>
      <c r="N19" s="317"/>
      <c r="O19" s="317"/>
      <c r="P19" s="317"/>
      <c r="Q19" s="317"/>
      <c r="R19" s="317"/>
      <c r="S19" s="196"/>
    </row>
    <row r="20" spans="1:19" s="195" customFormat="1" ht="67.5" customHeight="1">
      <c r="A20" s="191"/>
      <c r="B20" s="192"/>
      <c r="C20" s="193"/>
      <c r="D20" s="194" t="s">
        <v>63</v>
      </c>
      <c r="F20" s="197"/>
      <c r="G20" s="318"/>
      <c r="H20" s="318"/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196"/>
    </row>
    <row r="21" spans="1:19">
      <c r="B21" s="184"/>
      <c r="C21" s="187"/>
      <c r="D21" s="198"/>
      <c r="E21" s="187"/>
      <c r="F21" s="187"/>
      <c r="G21" s="187"/>
      <c r="H21" s="187"/>
      <c r="I21" s="187"/>
      <c r="S21" s="185"/>
    </row>
    <row r="22" spans="1:19" s="188" customFormat="1" ht="33.75">
      <c r="A22" s="180"/>
      <c r="B22" s="199"/>
      <c r="C22" s="193"/>
      <c r="D22" s="200" t="s">
        <v>64</v>
      </c>
      <c r="E22" s="193"/>
      <c r="G22" s="193"/>
      <c r="H22" s="201" t="s">
        <v>242</v>
      </c>
      <c r="I22" s="202"/>
      <c r="S22" s="203"/>
    </row>
    <row r="23" spans="1:19" s="188" customFormat="1" ht="33.75">
      <c r="A23" s="180"/>
      <c r="B23" s="199"/>
      <c r="C23" s="193"/>
      <c r="D23" s="200" t="s">
        <v>65</v>
      </c>
      <c r="E23" s="193"/>
      <c r="F23" s="193"/>
      <c r="H23" s="193"/>
      <c r="J23" s="201"/>
      <c r="S23" s="203"/>
    </row>
    <row r="24" spans="1:19">
      <c r="B24" s="184"/>
      <c r="S24" s="185"/>
    </row>
    <row r="25" spans="1:19">
      <c r="B25" s="184"/>
      <c r="S25" s="185"/>
    </row>
    <row r="26" spans="1:19" ht="15" hidden="1" customHeight="1">
      <c r="B26" s="184"/>
      <c r="S26" s="185"/>
    </row>
    <row r="27" spans="1:19" ht="15" hidden="1" customHeight="1">
      <c r="B27" s="184"/>
      <c r="S27" s="185"/>
    </row>
    <row r="28" spans="1:19">
      <c r="B28" s="184"/>
      <c r="S28" s="185"/>
    </row>
    <row r="29" spans="1:19">
      <c r="B29" s="184"/>
      <c r="S29" s="185"/>
    </row>
    <row r="30" spans="1:19" hidden="1">
      <c r="B30" s="184"/>
      <c r="S30" s="185"/>
    </row>
    <row r="31" spans="1:19" hidden="1">
      <c r="B31" s="184"/>
      <c r="S31" s="185"/>
    </row>
    <row r="32" spans="1:19" hidden="1">
      <c r="B32" s="184"/>
      <c r="S32" s="185"/>
    </row>
    <row r="33" spans="2:19">
      <c r="B33" s="184"/>
      <c r="S33" s="185"/>
    </row>
    <row r="34" spans="2:19" hidden="1">
      <c r="B34" s="184"/>
      <c r="S34" s="185"/>
    </row>
    <row r="35" spans="2:19" hidden="1">
      <c r="B35" s="184"/>
      <c r="S35" s="185"/>
    </row>
    <row r="36" spans="2:19" hidden="1">
      <c r="B36" s="184"/>
      <c r="S36" s="185"/>
    </row>
    <row r="37" spans="2:19" hidden="1">
      <c r="B37" s="184"/>
      <c r="S37" s="185"/>
    </row>
    <row r="38" spans="2:19">
      <c r="B38" s="184"/>
      <c r="S38" s="185"/>
    </row>
    <row r="39" spans="2:19">
      <c r="B39" s="184"/>
      <c r="S39" s="185"/>
    </row>
    <row r="40" spans="2:19" ht="7.5" customHeight="1">
      <c r="B40" s="184"/>
      <c r="S40" s="185"/>
    </row>
    <row r="41" spans="2:19">
      <c r="B41" s="204"/>
      <c r="C41" s="205"/>
      <c r="D41" s="205"/>
      <c r="E41" s="205"/>
      <c r="F41" s="205"/>
      <c r="G41" s="205"/>
      <c r="H41" s="205"/>
      <c r="I41" s="205"/>
      <c r="J41" s="205"/>
      <c r="K41" s="205"/>
      <c r="L41" s="205"/>
      <c r="M41" s="205"/>
      <c r="N41" s="205"/>
      <c r="O41" s="205"/>
      <c r="P41" s="205"/>
      <c r="Q41" s="205"/>
      <c r="R41" s="205"/>
      <c r="S41" s="206"/>
    </row>
  </sheetData>
  <mergeCells count="3">
    <mergeCell ref="C13:R13"/>
    <mergeCell ref="G19:R19"/>
    <mergeCell ref="G20:R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4" tint="0.79998168889431442"/>
  </sheetPr>
  <dimension ref="A1:T39"/>
  <sheetViews>
    <sheetView showGridLines="0" topLeftCell="A18" zoomScaleNormal="100" workbookViewId="0">
      <selection activeCell="A21" sqref="A21:XFD21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22.85546875" style="4" customWidth="1"/>
    <col min="4" max="4" width="2.85546875" style="4" customWidth="1"/>
    <col min="5" max="5" width="22.85546875" style="4" customWidth="1"/>
    <col min="6" max="6" width="2.85546875" style="4" customWidth="1"/>
    <col min="7" max="7" width="22.85546875" style="74" customWidth="1"/>
    <col min="8" max="8" width="2.85546875" style="74" customWidth="1"/>
    <col min="9" max="9" width="22.85546875" style="74" customWidth="1"/>
    <col min="10" max="10" width="2.85546875" style="74" customWidth="1"/>
    <col min="11" max="11" width="22.85546875" style="74" customWidth="1"/>
    <col min="12" max="12" width="2.85546875" style="74" customWidth="1"/>
    <col min="13" max="13" width="22.85546875" style="74" customWidth="1"/>
    <col min="14" max="14" width="2.85546875" style="74" customWidth="1"/>
    <col min="15" max="15" width="22.85546875" style="74" customWidth="1"/>
    <col min="16" max="16" width="2.85546875" style="4" customWidth="1"/>
    <col min="17" max="17" width="22.85546875" style="4" customWidth="1"/>
    <col min="18" max="18" width="2.85546875" style="4" customWidth="1"/>
    <col min="19" max="19" width="4.28515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 ht="15" customHeight="1">
      <c r="A1" s="9"/>
      <c r="B1" s="9"/>
      <c r="C1" s="9"/>
      <c r="D1" s="9"/>
      <c r="E1" s="9"/>
      <c r="F1" s="9"/>
      <c r="G1" s="63"/>
      <c r="H1" s="63"/>
      <c r="I1" s="63"/>
      <c r="J1" s="63"/>
      <c r="K1" s="63"/>
      <c r="L1" s="63"/>
      <c r="M1" s="63"/>
      <c r="N1" s="63"/>
      <c r="O1" s="63"/>
      <c r="P1" s="9"/>
      <c r="Q1" s="9"/>
      <c r="R1" s="9"/>
      <c r="S1" s="10"/>
      <c r="T1" s="9"/>
    </row>
    <row r="2" spans="1:20" ht="15" customHeight="1">
      <c r="B2" s="91"/>
      <c r="C2" s="92"/>
      <c r="D2" s="92"/>
      <c r="E2" s="92"/>
      <c r="F2" s="92"/>
      <c r="G2" s="96"/>
      <c r="H2" s="96"/>
      <c r="I2" s="96"/>
      <c r="J2" s="96"/>
      <c r="K2" s="96"/>
      <c r="L2" s="96"/>
      <c r="M2" s="96"/>
      <c r="N2" s="96"/>
      <c r="O2" s="96"/>
      <c r="P2" s="92"/>
      <c r="Q2" s="92"/>
      <c r="R2" s="92"/>
      <c r="S2" s="93"/>
    </row>
    <row r="3" spans="1:20" ht="15" customHeight="1">
      <c r="A3" s="9"/>
      <c r="B3" s="5"/>
      <c r="C3" s="6"/>
      <c r="D3" s="6"/>
      <c r="E3" s="6"/>
      <c r="F3" s="6"/>
      <c r="G3" s="64"/>
      <c r="H3" s="64"/>
      <c r="I3" s="64"/>
      <c r="J3" s="64"/>
      <c r="K3" s="64"/>
      <c r="L3" s="64"/>
      <c r="M3" s="64"/>
      <c r="N3" s="64"/>
      <c r="O3" s="64"/>
      <c r="P3" s="6"/>
      <c r="Q3" s="6"/>
      <c r="R3" s="6"/>
      <c r="S3" s="94"/>
    </row>
    <row r="4" spans="1:20" ht="15" customHeight="1">
      <c r="A4" s="9"/>
      <c r="B4" s="5"/>
      <c r="C4" s="6"/>
      <c r="D4" s="6"/>
      <c r="E4" s="6"/>
      <c r="F4" s="6"/>
      <c r="G4" s="64"/>
      <c r="H4" s="64"/>
      <c r="I4" s="64"/>
      <c r="J4" s="64"/>
      <c r="K4" s="64"/>
      <c r="L4" s="64"/>
      <c r="M4" s="64"/>
      <c r="N4" s="64"/>
      <c r="O4" s="64"/>
      <c r="P4" s="6"/>
      <c r="Q4" s="6"/>
      <c r="R4" s="6"/>
      <c r="S4" s="94"/>
    </row>
    <row r="5" spans="1:20" ht="15" customHeight="1">
      <c r="A5" s="9"/>
      <c r="B5" s="5"/>
      <c r="C5" s="6"/>
      <c r="D5" s="6"/>
      <c r="E5" s="6"/>
      <c r="F5" s="6"/>
      <c r="G5" s="64"/>
      <c r="H5" s="64"/>
      <c r="I5" s="64"/>
      <c r="J5" s="64"/>
      <c r="K5" s="64"/>
      <c r="L5" s="64"/>
      <c r="M5" s="64"/>
      <c r="N5" s="64"/>
      <c r="O5" s="64"/>
      <c r="P5" s="6"/>
      <c r="Q5" s="6"/>
      <c r="R5" s="6"/>
      <c r="S5" s="94"/>
    </row>
    <row r="6" spans="1:20" ht="15" hidden="1" customHeight="1">
      <c r="A6" s="9"/>
      <c r="B6" s="5"/>
      <c r="C6" s="6"/>
      <c r="D6" s="6"/>
      <c r="E6" s="6"/>
      <c r="F6" s="6"/>
      <c r="G6" s="64"/>
      <c r="H6" s="64"/>
      <c r="I6" s="64"/>
      <c r="J6" s="64"/>
      <c r="K6" s="64"/>
      <c r="L6" s="64"/>
      <c r="M6" s="64"/>
      <c r="N6" s="64"/>
      <c r="O6" s="64"/>
      <c r="P6" s="6"/>
      <c r="Q6" s="6"/>
      <c r="R6" s="6"/>
      <c r="S6" s="94"/>
    </row>
    <row r="7" spans="1:20" ht="15" hidden="1" customHeight="1">
      <c r="A7" s="9"/>
      <c r="B7" s="5"/>
      <c r="C7" s="6"/>
      <c r="D7" s="6"/>
      <c r="E7" s="6"/>
      <c r="F7" s="6"/>
      <c r="G7" s="64"/>
      <c r="H7" s="64"/>
      <c r="I7" s="64"/>
      <c r="J7" s="64"/>
      <c r="K7" s="64"/>
      <c r="L7" s="64"/>
      <c r="M7" s="64"/>
      <c r="N7" s="64"/>
      <c r="O7" s="64"/>
      <c r="P7" s="6"/>
      <c r="Q7" s="6"/>
      <c r="R7" s="6"/>
      <c r="S7" s="94"/>
    </row>
    <row r="8" spans="1:20" ht="60" customHeight="1">
      <c r="A8" s="9"/>
      <c r="B8" s="5"/>
      <c r="C8" s="319" t="str">
        <f>'Page de garde'!C13&amp;" : Résultats"</f>
        <v xml:space="preserve"> : Résultats</v>
      </c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1"/>
      <c r="S8" s="94"/>
    </row>
    <row r="9" spans="1:20" ht="15" customHeight="1">
      <c r="A9" s="9"/>
      <c r="B9" s="5"/>
      <c r="C9" s="6"/>
      <c r="D9" s="6"/>
      <c r="E9" s="6"/>
      <c r="F9" s="6"/>
      <c r="G9" s="64"/>
      <c r="H9" s="64"/>
      <c r="I9" s="64"/>
      <c r="J9" s="64"/>
      <c r="K9" s="64"/>
      <c r="L9" s="64"/>
      <c r="M9" s="64"/>
      <c r="N9" s="64"/>
      <c r="O9" s="64"/>
      <c r="P9" s="6"/>
      <c r="Q9" s="6"/>
      <c r="R9" s="6"/>
      <c r="S9" s="94"/>
    </row>
    <row r="10" spans="1:20" ht="15" customHeight="1">
      <c r="A10" s="9"/>
      <c r="B10" s="5"/>
      <c r="C10" s="6"/>
      <c r="D10" s="6"/>
      <c r="E10" s="6"/>
      <c r="F10" s="6"/>
      <c r="G10" s="64"/>
      <c r="H10" s="64"/>
      <c r="I10" s="64"/>
      <c r="J10" s="64"/>
      <c r="K10" s="64"/>
      <c r="L10" s="64"/>
      <c r="M10" s="64"/>
      <c r="N10" s="64"/>
      <c r="O10" s="64"/>
      <c r="P10" s="6"/>
      <c r="Q10" s="6"/>
      <c r="R10" s="6"/>
      <c r="S10" s="94"/>
    </row>
    <row r="11" spans="1:20" ht="15" customHeight="1">
      <c r="A11" s="9"/>
      <c r="B11" s="5"/>
      <c r="C11" s="6"/>
      <c r="D11" s="6"/>
      <c r="E11" s="6"/>
      <c r="F11" s="6"/>
      <c r="G11" s="64"/>
      <c r="H11" s="64"/>
      <c r="I11" s="64"/>
      <c r="J11" s="64"/>
      <c r="K11" s="64"/>
      <c r="L11" s="64"/>
      <c r="M11" s="64"/>
      <c r="N11" s="64"/>
      <c r="O11" s="64"/>
      <c r="P11" s="6"/>
      <c r="Q11" s="6"/>
      <c r="R11" s="6"/>
      <c r="S11" s="94"/>
    </row>
    <row r="12" spans="1:20" ht="15" customHeight="1">
      <c r="A12" s="9"/>
      <c r="B12" s="5"/>
      <c r="C12" s="6"/>
      <c r="D12" s="6"/>
      <c r="E12" s="6"/>
      <c r="F12" s="6"/>
      <c r="G12" s="64"/>
      <c r="H12" s="64"/>
      <c r="I12" s="64"/>
      <c r="J12" s="64"/>
      <c r="K12" s="64"/>
      <c r="L12" s="64"/>
      <c r="M12" s="64"/>
      <c r="N12" s="64"/>
      <c r="O12" s="64"/>
      <c r="P12" s="6"/>
      <c r="Q12" s="6"/>
      <c r="R12" s="6"/>
      <c r="S12" s="94"/>
    </row>
    <row r="13" spans="1:20" s="176" customFormat="1" ht="15" customHeight="1">
      <c r="A13" s="110"/>
      <c r="B13" s="115"/>
      <c r="C13" s="207" t="s">
        <v>7</v>
      </c>
      <c r="D13" s="208"/>
      <c r="E13" s="209">
        <f>'Page de garde'!J23</f>
        <v>0</v>
      </c>
      <c r="F13" s="13"/>
      <c r="G13" s="65"/>
      <c r="H13" s="65"/>
      <c r="I13" s="66"/>
      <c r="J13" s="66"/>
      <c r="K13" s="66"/>
      <c r="L13" s="66"/>
      <c r="M13" s="66"/>
      <c r="N13" s="66"/>
      <c r="O13" s="66"/>
      <c r="P13" s="13"/>
      <c r="Q13" s="13"/>
      <c r="R13" s="20"/>
      <c r="S13" s="116"/>
    </row>
    <row r="14" spans="1:20" s="176" customFormat="1" ht="15" customHeight="1">
      <c r="A14" s="110"/>
      <c r="B14" s="115"/>
      <c r="C14" s="13"/>
      <c r="D14" s="13"/>
      <c r="E14" s="13"/>
      <c r="F14" s="13"/>
      <c r="G14" s="66"/>
      <c r="H14" s="66"/>
      <c r="I14" s="66"/>
      <c r="J14" s="66"/>
      <c r="K14" s="66"/>
      <c r="L14" s="66"/>
      <c r="M14" s="66"/>
      <c r="N14" s="66"/>
      <c r="O14" s="66"/>
      <c r="P14" s="13"/>
      <c r="Q14" s="13"/>
      <c r="R14" s="20"/>
      <c r="S14" s="116"/>
    </row>
    <row r="15" spans="1:20" s="176" customFormat="1" ht="54.75" customHeight="1">
      <c r="A15" s="110"/>
      <c r="B15" s="115"/>
      <c r="C15" s="13"/>
      <c r="D15" s="13"/>
      <c r="E15" s="13"/>
      <c r="F15" s="14"/>
      <c r="G15" s="210" t="s">
        <v>8</v>
      </c>
      <c r="H15" s="67"/>
      <c r="I15" s="210" t="s">
        <v>9</v>
      </c>
      <c r="J15" s="67"/>
      <c r="K15" s="210" t="s">
        <v>10</v>
      </c>
      <c r="L15" s="67"/>
      <c r="M15" s="210" t="s">
        <v>11</v>
      </c>
      <c r="N15" s="67"/>
      <c r="O15" s="210" t="s">
        <v>12</v>
      </c>
      <c r="P15" s="14"/>
      <c r="Q15" s="211" t="s">
        <v>13</v>
      </c>
      <c r="R15" s="20"/>
      <c r="S15" s="116"/>
    </row>
    <row r="16" spans="1:20" s="176" customFormat="1" ht="22.5" customHeight="1">
      <c r="A16" s="110"/>
      <c r="B16" s="115"/>
      <c r="C16" s="13"/>
      <c r="D16" s="13"/>
      <c r="E16" s="13"/>
      <c r="F16" s="13"/>
      <c r="G16" s="66"/>
      <c r="H16" s="66"/>
      <c r="I16" s="66"/>
      <c r="J16" s="66"/>
      <c r="K16" s="66"/>
      <c r="L16" s="66"/>
      <c r="M16" s="66"/>
      <c r="N16" s="66"/>
      <c r="O16" s="66"/>
      <c r="P16" s="13"/>
      <c r="Q16" s="13"/>
      <c r="R16" s="20"/>
      <c r="S16" s="116"/>
    </row>
    <row r="17" spans="1:19" s="176" customFormat="1" ht="22.5" customHeight="1">
      <c r="A17" s="110"/>
      <c r="B17" s="115"/>
      <c r="C17" s="212"/>
      <c r="D17" s="13"/>
      <c r="E17" s="213" t="s">
        <v>14</v>
      </c>
      <c r="F17" s="13"/>
      <c r="G17" s="68"/>
      <c r="H17" s="67"/>
      <c r="I17" s="68"/>
      <c r="J17" s="67"/>
      <c r="K17" s="68"/>
      <c r="L17" s="67"/>
      <c r="M17" s="15"/>
      <c r="N17" s="67"/>
      <c r="O17" s="68"/>
      <c r="P17" s="14"/>
      <c r="Q17" s="15"/>
      <c r="R17" s="20"/>
      <c r="S17" s="116"/>
    </row>
    <row r="18" spans="1:19" s="176" customFormat="1" ht="22.5" customHeight="1">
      <c r="A18" s="110"/>
      <c r="B18" s="115"/>
      <c r="C18" s="12"/>
      <c r="D18" s="13"/>
      <c r="E18" s="16"/>
      <c r="F18" s="13"/>
      <c r="G18" s="69"/>
      <c r="H18" s="69"/>
      <c r="I18" s="69"/>
      <c r="J18" s="70"/>
      <c r="K18" s="71"/>
      <c r="L18" s="70"/>
      <c r="M18" s="71"/>
      <c r="N18" s="70"/>
      <c r="O18" s="71"/>
      <c r="P18" s="16"/>
      <c r="Q18" s="17"/>
      <c r="R18" s="20"/>
      <c r="S18" s="116"/>
    </row>
    <row r="19" spans="1:19" s="176" customFormat="1" ht="22.5" customHeight="1">
      <c r="A19" s="110"/>
      <c r="B19" s="115"/>
      <c r="C19" s="12"/>
      <c r="D19" s="13"/>
      <c r="E19" s="214" t="s">
        <v>15</v>
      </c>
      <c r="F19" s="13"/>
      <c r="G19" s="68"/>
      <c r="H19" s="67"/>
      <c r="I19" s="68"/>
      <c r="J19" s="67"/>
      <c r="K19" s="68"/>
      <c r="L19" s="67"/>
      <c r="M19" s="15"/>
      <c r="N19" s="67"/>
      <c r="O19" s="68"/>
      <c r="P19" s="14"/>
      <c r="Q19" s="15"/>
      <c r="R19" s="20"/>
      <c r="S19" s="116"/>
    </row>
    <row r="20" spans="1:19" s="176" customFormat="1" ht="22.5" customHeight="1">
      <c r="A20" s="110"/>
      <c r="B20" s="115"/>
      <c r="C20" s="12"/>
      <c r="D20" s="13"/>
      <c r="E20" s="215"/>
      <c r="F20" s="13"/>
      <c r="G20" s="69"/>
      <c r="H20" s="69"/>
      <c r="I20" s="69"/>
      <c r="J20" s="69"/>
      <c r="K20" s="71"/>
      <c r="L20" s="69"/>
      <c r="M20" s="71"/>
      <c r="N20" s="69"/>
      <c r="O20" s="71"/>
      <c r="P20" s="18"/>
      <c r="Q20" s="19"/>
      <c r="R20" s="20"/>
      <c r="S20" s="116"/>
    </row>
    <row r="21" spans="1:19" s="176" customFormat="1" ht="22.5" customHeight="1">
      <c r="A21" s="110"/>
      <c r="B21" s="115"/>
      <c r="C21" s="12"/>
      <c r="D21" s="13"/>
      <c r="E21" s="214" t="s">
        <v>16</v>
      </c>
      <c r="F21" s="13"/>
      <c r="G21" s="68"/>
      <c r="H21" s="67"/>
      <c r="I21" s="68"/>
      <c r="J21" s="67"/>
      <c r="K21" s="68"/>
      <c r="L21" s="67"/>
      <c r="M21" s="15"/>
      <c r="N21" s="67"/>
      <c r="O21" s="68"/>
      <c r="P21" s="14"/>
      <c r="Q21" s="15"/>
      <c r="R21" s="20"/>
      <c r="S21" s="116"/>
    </row>
    <row r="22" spans="1:19" ht="22.5" customHeight="1">
      <c r="A22" s="9"/>
      <c r="B22" s="5"/>
      <c r="C22" s="12"/>
      <c r="D22" s="13"/>
      <c r="E22" s="76"/>
      <c r="F22" s="13"/>
      <c r="G22" s="67"/>
      <c r="H22" s="67"/>
      <c r="I22" s="78"/>
      <c r="J22" s="67"/>
      <c r="K22" s="67"/>
      <c r="L22" s="67"/>
      <c r="M22" s="67"/>
      <c r="N22" s="67"/>
      <c r="O22" s="67"/>
      <c r="P22" s="14"/>
      <c r="Q22" s="78"/>
      <c r="R22" s="20"/>
      <c r="S22" s="94"/>
    </row>
    <row r="23" spans="1:19" ht="22.5" customHeight="1">
      <c r="A23" s="9"/>
      <c r="B23" s="5"/>
      <c r="C23" s="12"/>
      <c r="D23" s="13"/>
      <c r="E23" s="12"/>
      <c r="F23" s="13"/>
      <c r="G23" s="69"/>
      <c r="H23" s="69"/>
      <c r="I23" s="69"/>
      <c r="J23" s="69"/>
      <c r="K23" s="71"/>
      <c r="L23" s="69"/>
      <c r="M23" s="71"/>
      <c r="N23" s="69"/>
      <c r="O23" s="71"/>
      <c r="P23" s="18"/>
      <c r="Q23" s="19"/>
      <c r="R23" s="20"/>
      <c r="S23" s="94"/>
    </row>
    <row r="24" spans="1:19" s="176" customFormat="1" ht="22.5" customHeight="1">
      <c r="A24" s="110"/>
      <c r="B24" s="115"/>
      <c r="C24" s="212"/>
      <c r="D24" s="13"/>
      <c r="E24" s="213" t="s">
        <v>14</v>
      </c>
      <c r="F24" s="13"/>
      <c r="G24" s="68"/>
      <c r="H24" s="67"/>
      <c r="I24" s="68"/>
      <c r="J24" s="67"/>
      <c r="K24" s="68"/>
      <c r="L24" s="67"/>
      <c r="M24" s="15"/>
      <c r="N24" s="67"/>
      <c r="O24" s="68"/>
      <c r="P24" s="14"/>
      <c r="Q24" s="15"/>
      <c r="R24" s="20"/>
      <c r="S24" s="116"/>
    </row>
    <row r="25" spans="1:19" s="176" customFormat="1" ht="22.5" customHeight="1">
      <c r="A25" s="110"/>
      <c r="B25" s="115"/>
      <c r="C25" s="12"/>
      <c r="D25" s="13"/>
      <c r="E25" s="16"/>
      <c r="F25" s="13"/>
      <c r="G25" s="69"/>
      <c r="H25" s="69"/>
      <c r="I25" s="69"/>
      <c r="J25" s="70"/>
      <c r="K25" s="71"/>
      <c r="L25" s="70"/>
      <c r="M25" s="71"/>
      <c r="N25" s="70"/>
      <c r="O25" s="71"/>
      <c r="P25" s="16"/>
      <c r="Q25" s="17"/>
      <c r="R25" s="20"/>
      <c r="S25" s="116"/>
    </row>
    <row r="26" spans="1:19" s="176" customFormat="1" ht="22.5" customHeight="1">
      <c r="A26" s="110"/>
      <c r="B26" s="115"/>
      <c r="C26" s="12"/>
      <c r="D26" s="13"/>
      <c r="E26" s="214" t="s">
        <v>15</v>
      </c>
      <c r="F26" s="13"/>
      <c r="G26" s="68"/>
      <c r="H26" s="67"/>
      <c r="I26" s="68"/>
      <c r="J26" s="67"/>
      <c r="K26" s="68"/>
      <c r="L26" s="67"/>
      <c r="M26" s="15"/>
      <c r="N26" s="67"/>
      <c r="O26" s="68"/>
      <c r="P26" s="14"/>
      <c r="Q26" s="15"/>
      <c r="R26" s="20"/>
      <c r="S26" s="116"/>
    </row>
    <row r="27" spans="1:19" s="176" customFormat="1" ht="22.5" customHeight="1">
      <c r="A27" s="110"/>
      <c r="B27" s="115"/>
      <c r="C27" s="12"/>
      <c r="D27" s="13"/>
      <c r="E27" s="215"/>
      <c r="F27" s="13"/>
      <c r="G27" s="69"/>
      <c r="H27" s="69"/>
      <c r="I27" s="69"/>
      <c r="J27" s="69"/>
      <c r="K27" s="71"/>
      <c r="L27" s="69"/>
      <c r="M27" s="71"/>
      <c r="N27" s="69"/>
      <c r="O27" s="71"/>
      <c r="P27" s="18"/>
      <c r="Q27" s="19"/>
      <c r="R27" s="20"/>
      <c r="S27" s="116"/>
    </row>
    <row r="28" spans="1:19" s="176" customFormat="1" ht="22.5" customHeight="1">
      <c r="A28" s="110"/>
      <c r="B28" s="115"/>
      <c r="C28" s="12"/>
      <c r="D28" s="13"/>
      <c r="E28" s="214" t="s">
        <v>16</v>
      </c>
      <c r="F28" s="13"/>
      <c r="G28" s="68"/>
      <c r="H28" s="67"/>
      <c r="I28" s="68"/>
      <c r="J28" s="67"/>
      <c r="K28" s="68"/>
      <c r="L28" s="67"/>
      <c r="M28" s="15"/>
      <c r="N28" s="67"/>
      <c r="O28" s="68"/>
      <c r="P28" s="14"/>
      <c r="Q28" s="15"/>
      <c r="R28" s="20"/>
      <c r="S28" s="116"/>
    </row>
    <row r="29" spans="1:19" ht="12.6" customHeight="1">
      <c r="A29" s="9"/>
      <c r="B29" s="5"/>
      <c r="C29" s="12"/>
      <c r="D29" s="13"/>
      <c r="E29" s="76"/>
      <c r="F29" s="13"/>
      <c r="G29" s="67"/>
      <c r="H29" s="67"/>
      <c r="I29" s="78"/>
      <c r="J29" s="67"/>
      <c r="K29" s="67"/>
      <c r="L29" s="67"/>
      <c r="M29" s="67"/>
      <c r="N29" s="67"/>
      <c r="O29" s="67"/>
      <c r="P29" s="14"/>
      <c r="Q29" s="78"/>
      <c r="R29" s="20"/>
      <c r="S29" s="94"/>
    </row>
    <row r="30" spans="1:19" ht="8.85" customHeight="1">
      <c r="A30" s="9"/>
      <c r="B30" s="5"/>
      <c r="C30" s="12"/>
      <c r="D30" s="13"/>
      <c r="E30" s="76"/>
      <c r="F30" s="13"/>
      <c r="G30" s="67"/>
      <c r="H30" s="67"/>
      <c r="I30" s="78"/>
      <c r="J30" s="67"/>
      <c r="K30" s="67"/>
      <c r="L30" s="67"/>
      <c r="M30" s="67"/>
      <c r="N30" s="67"/>
      <c r="O30" s="67"/>
      <c r="P30" s="14"/>
      <c r="Q30" s="78"/>
      <c r="R30" s="20"/>
      <c r="S30" s="94"/>
    </row>
    <row r="31" spans="1:19" s="176" customFormat="1" ht="22.5" customHeight="1">
      <c r="A31" s="110"/>
      <c r="B31" s="115"/>
      <c r="C31" s="216" t="s">
        <v>17</v>
      </c>
      <c r="D31" s="217"/>
      <c r="E31" s="218"/>
      <c r="F31" s="217"/>
      <c r="G31" s="219"/>
      <c r="H31" s="219"/>
      <c r="I31" s="219"/>
      <c r="J31" s="219"/>
      <c r="K31" s="220"/>
      <c r="L31" s="219"/>
      <c r="M31" s="220"/>
      <c r="N31" s="219"/>
      <c r="O31" s="220"/>
      <c r="P31" s="221"/>
      <c r="Q31" s="222"/>
      <c r="R31" s="223"/>
      <c r="S31" s="116"/>
    </row>
    <row r="32" spans="1:19" s="176" customFormat="1" ht="22.5" customHeight="1">
      <c r="A32" s="110"/>
      <c r="B32" s="115"/>
      <c r="C32" s="216" t="s">
        <v>18</v>
      </c>
      <c r="D32" s="217"/>
      <c r="E32" s="218"/>
      <c r="F32" s="217"/>
      <c r="G32" s="219"/>
      <c r="H32" s="219"/>
      <c r="I32" s="219"/>
      <c r="J32" s="219"/>
      <c r="K32" s="220"/>
      <c r="L32" s="219"/>
      <c r="M32" s="220"/>
      <c r="N32" s="219"/>
      <c r="O32" s="220"/>
      <c r="P32" s="221"/>
      <c r="Q32" s="222"/>
      <c r="R32" s="223"/>
      <c r="S32" s="116"/>
    </row>
    <row r="33" spans="1:19" s="176" customFormat="1" ht="22.5" customHeight="1">
      <c r="A33" s="110"/>
      <c r="B33" s="115"/>
      <c r="C33" s="323" t="s">
        <v>19</v>
      </c>
      <c r="D33" s="323"/>
      <c r="E33" s="323"/>
      <c r="F33" s="323"/>
      <c r="G33" s="323"/>
      <c r="H33" s="323"/>
      <c r="I33" s="323"/>
      <c r="J33" s="323"/>
      <c r="K33" s="323"/>
      <c r="L33" s="323"/>
      <c r="M33" s="323"/>
      <c r="N33" s="323"/>
      <c r="O33" s="323"/>
      <c r="P33" s="323"/>
      <c r="Q33" s="323"/>
      <c r="R33" s="323"/>
      <c r="S33" s="116"/>
    </row>
    <row r="34" spans="1:19" ht="18.75">
      <c r="A34" s="9"/>
      <c r="B34" s="5"/>
      <c r="C34" s="21"/>
      <c r="D34" s="13"/>
      <c r="E34" s="12"/>
      <c r="F34" s="13"/>
      <c r="G34" s="69"/>
      <c r="H34" s="69"/>
      <c r="I34" s="69"/>
      <c r="J34" s="69"/>
      <c r="K34" s="71"/>
      <c r="L34" s="69"/>
      <c r="M34" s="71"/>
      <c r="N34" s="69"/>
      <c r="O34" s="71"/>
      <c r="P34" s="18"/>
      <c r="Q34" s="19"/>
      <c r="R34" s="20"/>
      <c r="S34" s="94"/>
    </row>
    <row r="35" spans="1:19" ht="32.450000000000003" customHeight="1">
      <c r="A35" s="9"/>
      <c r="B35" s="5"/>
      <c r="C35" s="322"/>
      <c r="D35" s="322"/>
      <c r="E35" s="322"/>
      <c r="F35" s="322"/>
      <c r="G35" s="322"/>
      <c r="H35" s="322"/>
      <c r="I35" s="322"/>
      <c r="J35" s="322"/>
      <c r="K35" s="322"/>
      <c r="L35" s="322"/>
      <c r="M35" s="322"/>
      <c r="N35" s="322"/>
      <c r="O35" s="322"/>
      <c r="P35" s="322"/>
      <c r="Q35" s="322"/>
      <c r="R35" s="322"/>
      <c r="S35" s="94"/>
    </row>
    <row r="36" spans="1:19" ht="22.5" customHeight="1">
      <c r="A36" s="9"/>
      <c r="B36" s="5"/>
      <c r="C36" s="12"/>
      <c r="D36" s="13"/>
      <c r="E36" s="13"/>
      <c r="F36" s="13"/>
      <c r="G36" s="66"/>
      <c r="H36" s="66"/>
      <c r="I36" s="66"/>
      <c r="J36" s="66"/>
      <c r="K36" s="66"/>
      <c r="L36" s="66"/>
      <c r="M36" s="66"/>
      <c r="N36" s="66"/>
      <c r="O36" s="66"/>
      <c r="P36" s="13"/>
      <c r="Q36" s="13"/>
      <c r="R36" s="20"/>
      <c r="S36" s="94"/>
    </row>
    <row r="37" spans="1:19" ht="32.450000000000003" customHeight="1">
      <c r="A37" s="9"/>
      <c r="B37" s="5"/>
      <c r="C37" s="322"/>
      <c r="D37" s="322"/>
      <c r="E37" s="322"/>
      <c r="F37" s="322"/>
      <c r="G37" s="322"/>
      <c r="H37" s="322"/>
      <c r="I37" s="322"/>
      <c r="J37" s="322"/>
      <c r="K37" s="322"/>
      <c r="L37" s="322"/>
      <c r="M37" s="322"/>
      <c r="N37" s="66"/>
      <c r="O37" s="66"/>
      <c r="P37" s="13"/>
      <c r="Q37" s="13"/>
      <c r="R37" s="20"/>
      <c r="S37" s="94"/>
    </row>
    <row r="38" spans="1:19" ht="15" customHeight="1">
      <c r="A38" s="9"/>
      <c r="B38" s="7"/>
      <c r="C38" s="8"/>
      <c r="D38" s="8"/>
      <c r="E38" s="8"/>
      <c r="F38" s="8"/>
      <c r="G38" s="72"/>
      <c r="H38" s="72"/>
      <c r="I38" s="72"/>
      <c r="J38" s="72"/>
      <c r="K38" s="72"/>
      <c r="L38" s="72"/>
      <c r="M38" s="72"/>
      <c r="N38" s="72"/>
      <c r="O38" s="72"/>
      <c r="P38" s="8"/>
      <c r="Q38" s="8"/>
      <c r="R38" s="8"/>
      <c r="S38" s="95"/>
    </row>
    <row r="39" spans="1:19">
      <c r="A39" s="9"/>
      <c r="G39" s="73"/>
      <c r="H39" s="73"/>
      <c r="I39" s="73"/>
      <c r="J39" s="73"/>
      <c r="K39" s="73"/>
      <c r="L39" s="73"/>
      <c r="M39" s="73"/>
      <c r="N39" s="73"/>
      <c r="O39" s="73"/>
    </row>
  </sheetData>
  <mergeCells count="4">
    <mergeCell ref="C8:R8"/>
    <mergeCell ref="C37:M37"/>
    <mergeCell ref="C35:R35"/>
    <mergeCell ref="C33:R3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theme="4" tint="0.79998168889431442"/>
  </sheetPr>
  <dimension ref="A1:AD52"/>
  <sheetViews>
    <sheetView showGridLines="0" topLeftCell="E10" zoomScaleNormal="100" workbookViewId="0">
      <selection activeCell="H15" sqref="H15:I19"/>
    </sheetView>
  </sheetViews>
  <sheetFormatPr defaultColWidth="11.42578125" defaultRowHeight="15"/>
  <cols>
    <col min="1" max="1" width="2.85546875" style="110" customWidth="1"/>
    <col min="2" max="2" width="4.28515625" style="77" customWidth="1"/>
    <col min="3" max="3" width="35.7109375" style="77" customWidth="1"/>
    <col min="4" max="11" width="21.28515625" style="77" customWidth="1"/>
    <col min="12" max="12" width="4.28515625" style="77" customWidth="1"/>
    <col min="13" max="13" width="2.85546875" style="77" customWidth="1"/>
    <col min="14" max="17" width="11.42578125" style="77" customWidth="1"/>
    <col min="18" max="18" width="22.5703125" style="77" bestFit="1" customWidth="1"/>
    <col min="19" max="26" width="11.42578125" style="77" customWidth="1"/>
    <col min="27" max="28" width="12.7109375" style="77" bestFit="1" customWidth="1"/>
    <col min="29" max="29" width="10.5703125" style="77" bestFit="1" customWidth="1"/>
    <col min="30" max="31" width="11.42578125" style="77" customWidth="1"/>
    <col min="32" max="16384" width="11.42578125" style="77"/>
  </cols>
  <sheetData>
    <row r="1" spans="1:30"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</row>
    <row r="2" spans="1:30">
      <c r="B2" s="111"/>
      <c r="C2" s="112"/>
      <c r="D2" s="112"/>
      <c r="E2" s="112"/>
      <c r="F2" s="112"/>
      <c r="G2" s="112"/>
      <c r="H2" s="112"/>
      <c r="I2" s="112"/>
      <c r="J2" s="112"/>
      <c r="K2" s="112"/>
      <c r="L2" s="113"/>
      <c r="P2" s="114"/>
    </row>
    <row r="3" spans="1:30">
      <c r="B3" s="115"/>
      <c r="L3" s="116"/>
    </row>
    <row r="4" spans="1:30">
      <c r="B4" s="115"/>
      <c r="L4" s="116"/>
    </row>
    <row r="5" spans="1:30">
      <c r="B5" s="115"/>
      <c r="L5" s="116"/>
    </row>
    <row r="6" spans="1:30" hidden="1">
      <c r="B6" s="115"/>
      <c r="L6" s="116"/>
    </row>
    <row r="7" spans="1:30">
      <c r="B7" s="115"/>
      <c r="L7" s="116"/>
    </row>
    <row r="8" spans="1:30" s="176" customFormat="1" ht="60" customHeight="1">
      <c r="A8" s="110"/>
      <c r="B8" s="115"/>
      <c r="C8" s="319" t="str">
        <f>'Page de garde'!C13&amp;" : Nombre d'assurés par société"</f>
        <v xml:space="preserve"> : Nombre d'assurés par société</v>
      </c>
      <c r="D8" s="320"/>
      <c r="E8" s="320"/>
      <c r="F8" s="320"/>
      <c r="G8" s="320"/>
      <c r="H8" s="320"/>
      <c r="I8" s="320"/>
      <c r="J8" s="320"/>
      <c r="K8" s="321"/>
      <c r="L8" s="116"/>
    </row>
    <row r="9" spans="1:30" s="176" customFormat="1" hidden="1">
      <c r="A9" s="110"/>
      <c r="B9" s="115"/>
      <c r="L9" s="116"/>
    </row>
    <row r="10" spans="1:30" s="176" customFormat="1">
      <c r="A10" s="110"/>
      <c r="B10" s="115"/>
      <c r="L10" s="116"/>
    </row>
    <row r="11" spans="1:30" s="176" customFormat="1" ht="18.75" customHeight="1">
      <c r="A11" s="110"/>
      <c r="B11" s="115"/>
      <c r="C11" s="224" t="s">
        <v>20</v>
      </c>
      <c r="L11" s="116"/>
    </row>
    <row r="12" spans="1:30" s="176" customFormat="1" ht="22.5" customHeight="1">
      <c r="A12" s="110"/>
      <c r="B12" s="115"/>
      <c r="L12" s="116"/>
    </row>
    <row r="13" spans="1:30" s="119" customFormat="1" ht="22.5" customHeight="1">
      <c r="A13" s="117"/>
      <c r="B13" s="118"/>
      <c r="D13" s="324" t="s">
        <v>21</v>
      </c>
      <c r="E13" s="325"/>
      <c r="F13" s="324"/>
      <c r="G13" s="326"/>
      <c r="H13" s="324" t="s">
        <v>22</v>
      </c>
      <c r="I13" s="325"/>
      <c r="J13" s="324"/>
      <c r="K13" s="326"/>
      <c r="L13" s="120"/>
    </row>
    <row r="14" spans="1:30" s="125" customFormat="1" ht="14.25" customHeight="1">
      <c r="A14" s="121"/>
      <c r="B14" s="122"/>
      <c r="C14" s="123"/>
      <c r="D14" s="225" t="s">
        <v>23</v>
      </c>
      <c r="E14" s="226" t="s">
        <v>24</v>
      </c>
      <c r="F14" s="225" t="s">
        <v>25</v>
      </c>
      <c r="G14" s="227" t="s">
        <v>26</v>
      </c>
      <c r="H14" s="225" t="s">
        <v>23</v>
      </c>
      <c r="I14" s="226" t="s">
        <v>24</v>
      </c>
      <c r="J14" s="225" t="s">
        <v>25</v>
      </c>
      <c r="K14" s="227" t="s">
        <v>26</v>
      </c>
      <c r="L14" s="124"/>
      <c r="R14" s="126"/>
      <c r="Z14" s="127"/>
      <c r="AA14" s="127"/>
      <c r="AB14" s="128" t="s">
        <v>23</v>
      </c>
      <c r="AC14" s="128" t="s">
        <v>24</v>
      </c>
      <c r="AD14" s="129"/>
    </row>
    <row r="15" spans="1:30" s="125" customFormat="1" ht="14.25" customHeight="1">
      <c r="A15" s="121"/>
      <c r="B15" s="122"/>
      <c r="C15" s="130"/>
      <c r="D15" s="301"/>
      <c r="E15" s="301"/>
      <c r="F15" s="131"/>
      <c r="G15" s="132"/>
      <c r="H15" s="301"/>
      <c r="I15" s="301"/>
      <c r="J15" s="131"/>
      <c r="K15" s="132"/>
      <c r="L15" s="124"/>
      <c r="Z15" s="127"/>
      <c r="AA15" s="127"/>
      <c r="AB15" s="127"/>
      <c r="AC15" s="127"/>
      <c r="AD15" s="129"/>
    </row>
    <row r="16" spans="1:30" s="125" customFormat="1" ht="14.25" customHeight="1">
      <c r="A16" s="121"/>
      <c r="B16" s="122"/>
      <c r="C16" s="228" t="s">
        <v>27</v>
      </c>
      <c r="D16" s="302"/>
      <c r="E16" s="302"/>
      <c r="F16" s="133"/>
      <c r="G16" s="134"/>
      <c r="H16" s="302"/>
      <c r="I16" s="302"/>
      <c r="J16" s="133"/>
      <c r="K16" s="134"/>
      <c r="L16" s="124"/>
      <c r="Z16" s="127"/>
      <c r="AA16" s="127"/>
      <c r="AB16" s="127"/>
      <c r="AC16" s="127"/>
      <c r="AD16" s="129"/>
    </row>
    <row r="17" spans="1:30" s="125" customFormat="1" ht="14.25" customHeight="1">
      <c r="A17" s="121"/>
      <c r="B17" s="122"/>
      <c r="C17" s="228" t="s">
        <v>28</v>
      </c>
      <c r="D17" s="302"/>
      <c r="E17" s="302"/>
      <c r="F17" s="133"/>
      <c r="G17" s="134"/>
      <c r="H17" s="302"/>
      <c r="I17" s="302"/>
      <c r="J17" s="133"/>
      <c r="K17" s="134"/>
      <c r="L17" s="124"/>
      <c r="Z17" s="127"/>
      <c r="AA17" s="127"/>
      <c r="AB17" s="127"/>
      <c r="AC17" s="127"/>
      <c r="AD17" s="129"/>
    </row>
    <row r="18" spans="1:30" s="125" customFormat="1" ht="14.25" customHeight="1">
      <c r="A18" s="121"/>
      <c r="B18" s="122"/>
      <c r="C18" s="228" t="s">
        <v>29</v>
      </c>
      <c r="D18" s="302"/>
      <c r="E18" s="302"/>
      <c r="F18" s="133"/>
      <c r="G18" s="134"/>
      <c r="H18" s="302"/>
      <c r="I18" s="302"/>
      <c r="J18" s="133"/>
      <c r="K18" s="134"/>
      <c r="L18" s="124"/>
      <c r="Z18" s="127"/>
      <c r="AA18" s="127"/>
      <c r="AB18" s="127"/>
      <c r="AC18" s="127"/>
      <c r="AD18" s="129"/>
    </row>
    <row r="19" spans="1:30" s="125" customFormat="1" ht="14.25" customHeight="1">
      <c r="A19" s="121"/>
      <c r="B19" s="122"/>
      <c r="C19" s="229" t="s">
        <v>3</v>
      </c>
      <c r="D19" s="303"/>
      <c r="E19" s="303"/>
      <c r="F19" s="135"/>
      <c r="G19" s="136"/>
      <c r="H19" s="303"/>
      <c r="I19" s="303"/>
      <c r="J19" s="135"/>
      <c r="K19" s="136"/>
      <c r="L19" s="124"/>
    </row>
    <row r="20" spans="1:30" s="125" customFormat="1" ht="14.25" customHeight="1">
      <c r="A20" s="121"/>
      <c r="B20" s="122"/>
      <c r="C20" s="137"/>
      <c r="D20" s="138"/>
      <c r="E20" s="138"/>
      <c r="F20" s="139"/>
      <c r="G20" s="140"/>
      <c r="H20" s="138"/>
      <c r="I20" s="138"/>
      <c r="J20" s="139"/>
      <c r="K20" s="140"/>
      <c r="L20" s="124"/>
    </row>
    <row r="21" spans="1:30" s="125" customFormat="1" ht="14.25" customHeight="1">
      <c r="A21" s="121"/>
      <c r="B21" s="122"/>
      <c r="C21" s="137"/>
      <c r="D21" s="138"/>
      <c r="E21" s="138"/>
      <c r="F21" s="139"/>
      <c r="G21" s="140"/>
      <c r="H21" s="138"/>
      <c r="I21" s="138"/>
      <c r="J21" s="139"/>
      <c r="K21" s="140"/>
      <c r="L21" s="124"/>
    </row>
    <row r="22" spans="1:30" s="125" customFormat="1" ht="14.25" customHeight="1">
      <c r="A22" s="121"/>
      <c r="B22" s="122"/>
      <c r="C22" s="137"/>
      <c r="D22" s="138"/>
      <c r="E22" s="138"/>
      <c r="F22" s="139"/>
      <c r="G22" s="140"/>
      <c r="H22" s="138"/>
      <c r="I22" s="138"/>
      <c r="J22" s="139"/>
      <c r="K22" s="140"/>
      <c r="L22" s="124"/>
    </row>
    <row r="23" spans="1:30" s="125" customFormat="1" ht="14.25" customHeight="1">
      <c r="A23" s="121"/>
      <c r="B23" s="122"/>
      <c r="C23" s="137"/>
      <c r="D23" s="138"/>
      <c r="E23" s="138"/>
      <c r="F23" s="139"/>
      <c r="G23" s="140"/>
      <c r="H23" s="138"/>
      <c r="I23" s="138"/>
      <c r="J23" s="139"/>
      <c r="K23" s="140"/>
      <c r="L23" s="124"/>
    </row>
    <row r="24" spans="1:30" s="125" customFormat="1" ht="14.25" customHeight="1">
      <c r="A24" s="121"/>
      <c r="B24" s="122"/>
      <c r="C24" s="137"/>
      <c r="D24" s="138"/>
      <c r="E24" s="138"/>
      <c r="F24" s="139"/>
      <c r="G24" s="140"/>
      <c r="H24" s="138"/>
      <c r="I24" s="138"/>
      <c r="J24" s="139"/>
      <c r="K24" s="140"/>
      <c r="L24" s="124"/>
    </row>
    <row r="25" spans="1:30" s="125" customFormat="1" ht="14.25" customHeight="1">
      <c r="A25" s="121"/>
      <c r="B25" s="122"/>
      <c r="C25" s="137"/>
      <c r="D25" s="138"/>
      <c r="E25" s="138"/>
      <c r="F25" s="139"/>
      <c r="G25" s="140"/>
      <c r="H25" s="138"/>
      <c r="I25" s="138"/>
      <c r="J25" s="139"/>
      <c r="K25" s="140"/>
      <c r="L25" s="124"/>
    </row>
    <row r="26" spans="1:30" s="125" customFormat="1" ht="14.25" customHeight="1">
      <c r="A26" s="121"/>
      <c r="B26" s="122"/>
      <c r="C26" s="137"/>
      <c r="D26" s="138"/>
      <c r="E26" s="138"/>
      <c r="F26" s="139"/>
      <c r="G26" s="140"/>
      <c r="H26" s="138"/>
      <c r="I26" s="138"/>
      <c r="J26" s="139"/>
      <c r="K26" s="140"/>
      <c r="L26" s="124"/>
    </row>
    <row r="27" spans="1:30" s="125" customFormat="1" ht="14.25" customHeight="1">
      <c r="A27" s="121"/>
      <c r="B27" s="122"/>
      <c r="C27" s="137"/>
      <c r="D27" s="138"/>
      <c r="E27" s="138"/>
      <c r="F27" s="139"/>
      <c r="G27" s="140"/>
      <c r="H27" s="138"/>
      <c r="I27" s="138"/>
      <c r="J27" s="139"/>
      <c r="K27" s="140"/>
      <c r="L27" s="124"/>
    </row>
    <row r="28" spans="1:30" s="125" customFormat="1" ht="14.25" customHeight="1">
      <c r="A28" s="121"/>
      <c r="B28" s="122"/>
      <c r="C28" s="137"/>
      <c r="D28" s="138"/>
      <c r="E28" s="138"/>
      <c r="F28" s="139"/>
      <c r="G28" s="140"/>
      <c r="H28" s="138"/>
      <c r="I28" s="138"/>
      <c r="J28" s="139"/>
      <c r="K28" s="140"/>
      <c r="L28" s="124"/>
    </row>
    <row r="29" spans="1:30" s="125" customFormat="1" ht="14.25" customHeight="1">
      <c r="A29" s="121"/>
      <c r="B29" s="122"/>
      <c r="C29" s="137"/>
      <c r="D29" s="138"/>
      <c r="E29" s="138"/>
      <c r="F29" s="139"/>
      <c r="G29" s="140"/>
      <c r="H29" s="138"/>
      <c r="I29" s="138"/>
      <c r="J29" s="139"/>
      <c r="K29" s="140"/>
      <c r="L29" s="124"/>
    </row>
    <row r="30" spans="1:30" s="125" customFormat="1" ht="14.25" customHeight="1">
      <c r="A30" s="121"/>
      <c r="B30" s="122"/>
      <c r="C30" s="137"/>
      <c r="D30" s="138"/>
      <c r="E30" s="138"/>
      <c r="F30" s="139"/>
      <c r="G30" s="140"/>
      <c r="H30" s="138"/>
      <c r="I30" s="138"/>
      <c r="J30" s="139"/>
      <c r="K30" s="140"/>
      <c r="L30" s="124"/>
    </row>
    <row r="31" spans="1:30" s="125" customFormat="1" ht="14.25" customHeight="1">
      <c r="A31" s="121"/>
      <c r="B31" s="122"/>
      <c r="C31" s="137"/>
      <c r="D31" s="138"/>
      <c r="E31" s="138"/>
      <c r="F31" s="139"/>
      <c r="G31" s="140"/>
      <c r="H31" s="138"/>
      <c r="I31" s="138"/>
      <c r="J31" s="139"/>
      <c r="K31" s="140"/>
      <c r="L31" s="124"/>
    </row>
    <row r="32" spans="1:30" ht="14.25" customHeight="1">
      <c r="B32" s="115"/>
      <c r="L32" s="116"/>
    </row>
    <row r="33" spans="2:12" ht="14.25" customHeight="1">
      <c r="B33" s="115"/>
      <c r="L33" s="116"/>
    </row>
    <row r="34" spans="2:12" ht="14.25" customHeight="1">
      <c r="B34" s="115"/>
      <c r="L34" s="116"/>
    </row>
    <row r="35" spans="2:12" ht="14.25" customHeight="1">
      <c r="B35" s="115"/>
      <c r="L35" s="116"/>
    </row>
    <row r="36" spans="2:12" ht="14.25" customHeight="1">
      <c r="B36" s="115"/>
      <c r="L36" s="116"/>
    </row>
    <row r="37" spans="2:12" ht="14.25" customHeight="1">
      <c r="B37" s="115"/>
      <c r="L37" s="116"/>
    </row>
    <row r="38" spans="2:12" ht="14.25" customHeight="1">
      <c r="B38" s="115"/>
      <c r="L38" s="116"/>
    </row>
    <row r="39" spans="2:12" ht="14.25" customHeight="1">
      <c r="B39" s="115"/>
      <c r="L39" s="116"/>
    </row>
    <row r="40" spans="2:12" ht="14.25" customHeight="1">
      <c r="B40" s="115"/>
      <c r="L40" s="116"/>
    </row>
    <row r="41" spans="2:12" ht="14.25" customHeight="1">
      <c r="B41" s="115"/>
      <c r="L41" s="116"/>
    </row>
    <row r="42" spans="2:12" ht="14.25" customHeight="1">
      <c r="B42" s="115"/>
      <c r="L42" s="116"/>
    </row>
    <row r="43" spans="2:12" ht="14.25" customHeight="1">
      <c r="B43" s="115"/>
      <c r="L43" s="116"/>
    </row>
    <row r="44" spans="2:12" ht="14.25" customHeight="1">
      <c r="B44" s="115"/>
      <c r="L44" s="116"/>
    </row>
    <row r="45" spans="2:12" ht="14.25" customHeight="1">
      <c r="B45" s="115"/>
      <c r="L45" s="116"/>
    </row>
    <row r="46" spans="2:12" ht="14.25" customHeight="1">
      <c r="B46" s="115"/>
      <c r="L46" s="116"/>
    </row>
    <row r="47" spans="2:12" ht="14.25" customHeight="1">
      <c r="B47" s="115"/>
      <c r="L47" s="116"/>
    </row>
    <row r="48" spans="2:12" ht="14.25" customHeight="1">
      <c r="B48" s="115"/>
      <c r="L48" s="116"/>
    </row>
    <row r="49" spans="2:12" ht="14.25" customHeight="1">
      <c r="B49" s="115"/>
      <c r="L49" s="116"/>
    </row>
    <row r="50" spans="2:12" ht="14.25" customHeight="1">
      <c r="B50" s="115"/>
      <c r="L50" s="116"/>
    </row>
    <row r="51" spans="2:12" ht="14.25" customHeight="1">
      <c r="B51" s="115"/>
      <c r="L51" s="116"/>
    </row>
    <row r="52" spans="2:12" ht="7.5" customHeight="1">
      <c r="B52" s="141"/>
      <c r="C52" s="142"/>
      <c r="D52" s="142"/>
      <c r="E52" s="142"/>
      <c r="F52" s="142"/>
      <c r="G52" s="142"/>
      <c r="H52" s="142"/>
      <c r="I52" s="142"/>
      <c r="J52" s="142"/>
      <c r="K52" s="142"/>
      <c r="L52" s="143"/>
    </row>
  </sheetData>
  <mergeCells count="5">
    <mergeCell ref="C8:K8"/>
    <mergeCell ref="D13:E13"/>
    <mergeCell ref="F13:G13"/>
    <mergeCell ref="H13:I13"/>
    <mergeCell ref="J13:K1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4" tint="0.79998168889431442"/>
    <pageSetUpPr fitToPage="1"/>
  </sheetPr>
  <dimension ref="A1:U48"/>
  <sheetViews>
    <sheetView showGridLines="0" zoomScaleNormal="100" workbookViewId="0">
      <selection activeCell="I10" sqref="I10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20" style="4" customWidth="1"/>
    <col min="4" max="4" width="11.42578125" style="4" customWidth="1"/>
    <col min="5" max="5" width="12.5703125" style="4" customWidth="1"/>
    <col min="6" max="6" width="11.42578125" style="4" customWidth="1"/>
    <col min="7" max="7" width="13.42578125" style="4" customWidth="1"/>
    <col min="8" max="9" width="11.42578125" style="4" customWidth="1"/>
    <col min="10" max="10" width="18.42578125" style="4" customWidth="1"/>
    <col min="11" max="11" width="34.28515625" style="4" customWidth="1"/>
    <col min="12" max="12" width="11.42578125" style="4" customWidth="1"/>
    <col min="13" max="13" width="17.140625" style="4" customWidth="1"/>
    <col min="14" max="16" width="11.42578125" style="4" customWidth="1"/>
    <col min="17" max="17" width="4.140625" style="4" customWidth="1"/>
    <col min="18" max="18" width="2.85546875" style="4" customWidth="1"/>
    <col min="19" max="20" width="11.42578125" style="4" customWidth="1"/>
    <col min="21" max="21" width="19.7109375" style="4" bestFit="1" customWidth="1"/>
    <col min="22" max="23" width="11.42578125" style="4" customWidth="1"/>
    <col min="24" max="16384" width="11.42578125" style="4"/>
  </cols>
  <sheetData>
    <row r="1" spans="1:21" ht="15" customHeight="1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10"/>
      <c r="R1" s="9"/>
    </row>
    <row r="2" spans="1:21" ht="15" customHeight="1">
      <c r="B2" s="91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3"/>
      <c r="U2" s="58"/>
    </row>
    <row r="3" spans="1:21" ht="15" customHeight="1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94"/>
    </row>
    <row r="4" spans="1:21" ht="15" customHeight="1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94"/>
    </row>
    <row r="5" spans="1:21" ht="15" customHeight="1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94"/>
    </row>
    <row r="6" spans="1:21" ht="15" customHeight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94"/>
    </row>
    <row r="7" spans="1:21" ht="15" hidden="1" customHeight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94"/>
    </row>
    <row r="8" spans="1:21" s="176" customFormat="1" ht="60" customHeight="1">
      <c r="A8" s="110"/>
      <c r="B8" s="115"/>
      <c r="C8" s="319" t="str">
        <f>'Page de garde'!C13&amp;" : Démographie des Actifs vue au "&amp;AFFICHAGE!N2</f>
        <v xml:space="preserve"> : Démographie des Actifs vue au </v>
      </c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1"/>
      <c r="Q8" s="116"/>
    </row>
    <row r="9" spans="1:21" s="176" customFormat="1" ht="15" customHeight="1">
      <c r="A9" s="110"/>
      <c r="B9" s="115"/>
      <c r="Q9" s="116"/>
    </row>
    <row r="10" spans="1:21" s="176" customFormat="1" ht="15" customHeight="1">
      <c r="A10" s="110"/>
      <c r="B10" s="115"/>
      <c r="Q10" s="116"/>
    </row>
    <row r="11" spans="1:21" s="176" customFormat="1" ht="15" customHeight="1">
      <c r="A11" s="110"/>
      <c r="B11" s="115"/>
      <c r="C11" s="230" t="s">
        <v>30</v>
      </c>
      <c r="K11" s="231" t="s">
        <v>31</v>
      </c>
      <c r="Q11" s="116"/>
    </row>
    <row r="12" spans="1:21" s="176" customFormat="1" ht="30" customHeight="1">
      <c r="A12" s="110"/>
      <c r="B12" s="115"/>
      <c r="Q12" s="116"/>
    </row>
    <row r="13" spans="1:21" s="176" customFormat="1" ht="45">
      <c r="A13" s="110"/>
      <c r="B13" s="115"/>
      <c r="C13" s="23"/>
      <c r="D13" s="179" t="s">
        <v>32</v>
      </c>
      <c r="E13" s="179" t="s">
        <v>33</v>
      </c>
      <c r="F13" s="179" t="s">
        <v>24</v>
      </c>
      <c r="G13" s="179" t="s">
        <v>34</v>
      </c>
      <c r="H13" s="179" t="s">
        <v>35</v>
      </c>
      <c r="K13" s="26" t="s">
        <v>36</v>
      </c>
      <c r="L13" s="26" t="s">
        <v>37</v>
      </c>
      <c r="M13" s="26" t="s">
        <v>38</v>
      </c>
      <c r="N13" s="40" t="s">
        <v>3</v>
      </c>
      <c r="Q13" s="116"/>
    </row>
    <row r="14" spans="1:21" s="176" customFormat="1" ht="15" customHeight="1">
      <c r="A14" s="110"/>
      <c r="B14" s="115"/>
      <c r="C14" s="232" t="s">
        <v>37</v>
      </c>
      <c r="D14" s="304"/>
      <c r="E14" s="307"/>
      <c r="F14" s="304"/>
      <c r="G14" s="307"/>
      <c r="H14" s="242"/>
      <c r="K14" s="24" t="s">
        <v>39</v>
      </c>
      <c r="L14" s="27"/>
      <c r="M14" s="28"/>
      <c r="N14" s="38"/>
      <c r="Q14" s="116"/>
    </row>
    <row r="15" spans="1:21" s="176" customFormat="1" ht="15" customHeight="1">
      <c r="A15" s="110"/>
      <c r="B15" s="115"/>
      <c r="C15" s="233" t="s">
        <v>38</v>
      </c>
      <c r="D15" s="305"/>
      <c r="E15" s="308"/>
      <c r="F15" s="305"/>
      <c r="G15" s="308"/>
      <c r="H15" s="243"/>
      <c r="K15" s="24" t="s">
        <v>40</v>
      </c>
      <c r="L15" s="27"/>
      <c r="M15" s="28"/>
      <c r="N15" s="38"/>
      <c r="Q15" s="116"/>
    </row>
    <row r="16" spans="1:21" s="176" customFormat="1" ht="15" customHeight="1">
      <c r="A16" s="110"/>
      <c r="B16" s="115"/>
      <c r="C16" s="234" t="s">
        <v>3</v>
      </c>
      <c r="D16" s="306"/>
      <c r="E16" s="300"/>
      <c r="F16" s="306"/>
      <c r="G16" s="300"/>
      <c r="H16" s="234"/>
      <c r="K16" s="24" t="s">
        <v>41</v>
      </c>
      <c r="L16" s="27"/>
      <c r="M16" s="28"/>
      <c r="N16" s="38"/>
      <c r="Q16" s="116"/>
    </row>
    <row r="17" spans="1:17" s="176" customFormat="1" ht="15" customHeight="1">
      <c r="A17" s="110"/>
      <c r="B17" s="115"/>
      <c r="K17" s="24" t="s">
        <v>42</v>
      </c>
      <c r="L17" s="27"/>
      <c r="M17" s="28"/>
      <c r="N17" s="38"/>
      <c r="Q17" s="116"/>
    </row>
    <row r="18" spans="1:17" ht="15" customHeight="1">
      <c r="A18" s="9"/>
      <c r="B18" s="5"/>
      <c r="C18" s="6"/>
      <c r="D18" s="6"/>
      <c r="E18" s="6"/>
      <c r="F18" s="6"/>
      <c r="G18" s="6"/>
      <c r="H18" s="6"/>
      <c r="I18" s="6"/>
      <c r="J18" s="6"/>
      <c r="K18" s="24" t="s">
        <v>43</v>
      </c>
      <c r="L18" s="27"/>
      <c r="M18" s="28"/>
      <c r="N18" s="38"/>
      <c r="O18" s="6"/>
      <c r="P18" s="6"/>
      <c r="Q18" s="94"/>
    </row>
    <row r="19" spans="1:17" ht="15" customHeight="1">
      <c r="A19" s="9"/>
      <c r="B19" s="5"/>
      <c r="C19" s="6"/>
      <c r="D19" s="6"/>
      <c r="E19" s="6"/>
      <c r="F19" s="6"/>
      <c r="G19" s="6"/>
      <c r="H19" s="6"/>
      <c r="I19" s="6"/>
      <c r="J19" s="6"/>
      <c r="K19" s="24" t="s">
        <v>44</v>
      </c>
      <c r="L19" s="27"/>
      <c r="M19" s="28"/>
      <c r="N19" s="38"/>
      <c r="O19" s="6"/>
      <c r="P19" s="6"/>
      <c r="Q19" s="94"/>
    </row>
    <row r="20" spans="1:17" ht="15" customHeight="1">
      <c r="A20" s="9"/>
      <c r="B20" s="5"/>
      <c r="C20" s="6"/>
      <c r="D20" s="6"/>
      <c r="E20" s="6"/>
      <c r="F20" s="6"/>
      <c r="G20" s="6"/>
      <c r="H20" s="6"/>
      <c r="I20" s="6"/>
      <c r="J20" s="6"/>
      <c r="K20" s="24" t="s">
        <v>45</v>
      </c>
      <c r="L20" s="27"/>
      <c r="M20" s="28"/>
      <c r="N20" s="38"/>
      <c r="O20" s="6"/>
      <c r="P20" s="6"/>
      <c r="Q20" s="94"/>
    </row>
    <row r="21" spans="1:17" ht="15" customHeight="1">
      <c r="A21" s="9"/>
      <c r="B21" s="5"/>
      <c r="C21" s="6"/>
      <c r="D21" s="6"/>
      <c r="E21" s="6"/>
      <c r="F21" s="6"/>
      <c r="G21" s="6"/>
      <c r="H21" s="6"/>
      <c r="I21" s="6"/>
      <c r="J21" s="6"/>
      <c r="K21" s="24" t="s">
        <v>46</v>
      </c>
      <c r="L21" s="27"/>
      <c r="M21" s="28"/>
      <c r="N21" s="38"/>
      <c r="O21" s="6"/>
      <c r="P21" s="6"/>
      <c r="Q21" s="94"/>
    </row>
    <row r="22" spans="1:17" ht="15" customHeight="1">
      <c r="A22" s="9"/>
      <c r="B22" s="5"/>
      <c r="C22" s="6"/>
      <c r="D22" s="6"/>
      <c r="E22" s="6"/>
      <c r="F22" s="6"/>
      <c r="G22" s="6"/>
      <c r="H22" s="6"/>
      <c r="I22" s="6"/>
      <c r="J22" s="6"/>
      <c r="K22" s="24" t="s">
        <v>47</v>
      </c>
      <c r="L22" s="27"/>
      <c r="M22" s="28"/>
      <c r="N22" s="38"/>
      <c r="O22" s="6"/>
      <c r="P22" s="6"/>
      <c r="Q22" s="94"/>
    </row>
    <row r="23" spans="1:17" ht="15" customHeight="1">
      <c r="A23" s="9"/>
      <c r="B23" s="5"/>
      <c r="C23" s="6"/>
      <c r="D23" s="6"/>
      <c r="E23" s="6"/>
      <c r="F23" s="6"/>
      <c r="G23" s="6"/>
      <c r="H23" s="6"/>
      <c r="I23" s="6"/>
      <c r="J23" s="6"/>
      <c r="K23" s="25" t="s">
        <v>3</v>
      </c>
      <c r="L23" s="29"/>
      <c r="M23" s="30"/>
      <c r="N23" s="39"/>
      <c r="O23" s="6"/>
      <c r="P23" s="6"/>
      <c r="Q23" s="94"/>
    </row>
    <row r="24" spans="1:17" ht="15" customHeight="1">
      <c r="A24" s="9"/>
      <c r="B24" s="5"/>
      <c r="C24" s="6"/>
      <c r="D24" s="6"/>
      <c r="E24" s="6"/>
      <c r="F24" s="6"/>
      <c r="G24" s="6"/>
      <c r="H24" s="6"/>
      <c r="I24" s="6"/>
      <c r="J24" s="6"/>
      <c r="O24" s="6"/>
      <c r="P24" s="6"/>
      <c r="Q24" s="94"/>
    </row>
    <row r="25" spans="1:17" ht="15" customHeight="1">
      <c r="A25" s="9"/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94"/>
    </row>
    <row r="26" spans="1:17" ht="15" customHeight="1">
      <c r="A26" s="9"/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94"/>
    </row>
    <row r="27" spans="1:17" ht="15" customHeight="1">
      <c r="A27" s="9"/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94"/>
    </row>
    <row r="28" spans="1:17" ht="15" customHeight="1">
      <c r="A28" s="9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94"/>
    </row>
    <row r="29" spans="1:17" ht="15" customHeight="1">
      <c r="A29" s="9"/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94"/>
    </row>
    <row r="30" spans="1:17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94"/>
    </row>
    <row r="31" spans="1:17" ht="12" customHeight="1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94"/>
    </row>
    <row r="32" spans="1:17" ht="15" customHeight="1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94"/>
    </row>
    <row r="33" spans="1:17" ht="15" customHeight="1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94"/>
    </row>
    <row r="34" spans="1:17" s="176" customFormat="1" ht="15" customHeight="1">
      <c r="A34" s="110"/>
      <c r="B34" s="115"/>
      <c r="C34" s="231" t="s">
        <v>48</v>
      </c>
      <c r="K34" s="327"/>
      <c r="L34" s="328"/>
      <c r="M34" s="328"/>
      <c r="N34" s="328"/>
      <c r="O34" s="328"/>
      <c r="P34" s="329"/>
      <c r="Q34" s="116"/>
    </row>
    <row r="35" spans="1:17" s="176" customFormat="1" ht="15" customHeight="1">
      <c r="A35" s="110"/>
      <c r="B35" s="115"/>
      <c r="K35" s="330"/>
      <c r="L35" s="331"/>
      <c r="M35" s="331"/>
      <c r="N35" s="331"/>
      <c r="O35" s="331"/>
      <c r="P35" s="332"/>
      <c r="Q35" s="116"/>
    </row>
    <row r="36" spans="1:17" s="176" customFormat="1" ht="15.75">
      <c r="A36" s="110"/>
      <c r="B36" s="115"/>
      <c r="C36" s="22"/>
      <c r="D36" s="235" t="s">
        <v>49</v>
      </c>
      <c r="E36" s="236" t="s">
        <v>50</v>
      </c>
      <c r="K36" s="330"/>
      <c r="L36" s="331"/>
      <c r="M36" s="331"/>
      <c r="N36" s="331"/>
      <c r="O36" s="331"/>
      <c r="P36" s="332"/>
      <c r="Q36" s="116"/>
    </row>
    <row r="37" spans="1:17" s="176" customFormat="1" ht="15" customHeight="1">
      <c r="A37" s="110"/>
      <c r="B37" s="115"/>
      <c r="C37" s="237" t="s">
        <v>51</v>
      </c>
      <c r="D37" s="31"/>
      <c r="E37" s="32"/>
      <c r="K37" s="330"/>
      <c r="L37" s="331"/>
      <c r="M37" s="331"/>
      <c r="N37" s="331"/>
      <c r="O37" s="331"/>
      <c r="P37" s="332"/>
      <c r="Q37" s="116"/>
    </row>
    <row r="38" spans="1:17" s="176" customFormat="1" ht="15" customHeight="1">
      <c r="A38" s="110"/>
      <c r="B38" s="115"/>
      <c r="C38" s="238" t="s">
        <v>52</v>
      </c>
      <c r="D38" s="33"/>
      <c r="E38" s="34"/>
      <c r="K38" s="330"/>
      <c r="L38" s="331"/>
      <c r="M38" s="331"/>
      <c r="N38" s="331"/>
      <c r="O38" s="331"/>
      <c r="P38" s="332"/>
      <c r="Q38" s="116"/>
    </row>
    <row r="39" spans="1:17" s="176" customFormat="1" ht="15" customHeight="1">
      <c r="A39" s="110"/>
      <c r="B39" s="115"/>
      <c r="C39" s="239" t="s">
        <v>53</v>
      </c>
      <c r="D39" s="33"/>
      <c r="E39" s="34"/>
      <c r="K39" s="330"/>
      <c r="L39" s="331"/>
      <c r="M39" s="331"/>
      <c r="N39" s="331"/>
      <c r="O39" s="331"/>
      <c r="P39" s="332"/>
      <c r="Q39" s="116"/>
    </row>
    <row r="40" spans="1:17" s="176" customFormat="1" ht="15" customHeight="1">
      <c r="A40" s="110"/>
      <c r="B40" s="115"/>
      <c r="C40" s="240" t="s">
        <v>3</v>
      </c>
      <c r="D40" s="35"/>
      <c r="E40" s="36"/>
      <c r="K40" s="330"/>
      <c r="L40" s="331"/>
      <c r="M40" s="331"/>
      <c r="N40" s="331"/>
      <c r="O40" s="331"/>
      <c r="P40" s="332"/>
      <c r="Q40" s="116"/>
    </row>
    <row r="41" spans="1:17" s="176" customFormat="1" ht="15" customHeight="1">
      <c r="A41" s="110"/>
      <c r="B41" s="115"/>
      <c r="C41" s="62"/>
      <c r="D41" s="62"/>
      <c r="E41" s="62"/>
      <c r="K41" s="330"/>
      <c r="L41" s="331"/>
      <c r="M41" s="331"/>
      <c r="N41" s="331"/>
      <c r="O41" s="331"/>
      <c r="P41" s="332"/>
      <c r="Q41" s="116"/>
    </row>
    <row r="42" spans="1:17" s="176" customFormat="1" ht="15" customHeight="1">
      <c r="A42" s="110"/>
      <c r="B42" s="115"/>
      <c r="C42" s="240" t="s">
        <v>54</v>
      </c>
      <c r="D42" s="37"/>
      <c r="E42" s="241" t="e">
        <f>D40/F16</f>
        <v>#DIV/0!</v>
      </c>
      <c r="K42" s="333"/>
      <c r="L42" s="334"/>
      <c r="M42" s="334"/>
      <c r="N42" s="334"/>
      <c r="O42" s="334"/>
      <c r="P42" s="335"/>
      <c r="Q42" s="116"/>
    </row>
    <row r="43" spans="1:17" ht="15" customHeight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94"/>
    </row>
    <row r="44" spans="1:17" ht="15" customHeight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94"/>
    </row>
    <row r="45" spans="1:17" ht="1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94"/>
    </row>
    <row r="46" spans="1:17" s="180" customFormat="1" ht="15" customHeight="1">
      <c r="B46" s="184"/>
      <c r="C46" s="180" t="s">
        <v>55</v>
      </c>
      <c r="Q46" s="185"/>
    </row>
    <row r="47" spans="1:17" ht="15" customHeight="1">
      <c r="A47" s="9"/>
      <c r="B47" s="7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95"/>
    </row>
    <row r="48" spans="1:17" ht="15" customHeight="1">
      <c r="A48" s="9"/>
    </row>
  </sheetData>
  <mergeCells count="2">
    <mergeCell ref="K34:P42"/>
    <mergeCell ref="C8:P8"/>
  </mergeCells>
  <pageMargins left="0.7" right="0.7" top="0.75" bottom="0.75" header="0.3" footer="0.3"/>
  <pageSetup paperSize="9" scale="34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4" tint="0.79998168889431442"/>
  </sheetPr>
  <dimension ref="A1:V60"/>
  <sheetViews>
    <sheetView showGridLines="0" topLeftCell="C8" zoomScaleNormal="100" workbookViewId="0">
      <selection activeCell="H26" sqref="H26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10" style="4" customWidth="1"/>
    <col min="4" max="4" width="31.28515625" style="4" customWidth="1"/>
    <col min="5" max="5" width="10.7109375" style="4" customWidth="1"/>
    <col min="6" max="6" width="14.28515625" style="86" customWidth="1"/>
    <col min="7" max="11" width="14.28515625" style="4" customWidth="1"/>
    <col min="12" max="12" width="15.7109375" style="4" customWidth="1"/>
    <col min="13" max="13" width="10.7109375" style="4" customWidth="1"/>
    <col min="14" max="14" width="1.42578125" style="4" customWidth="1"/>
    <col min="15" max="15" width="14.28515625" style="4" customWidth="1"/>
    <col min="16" max="16" width="15.7109375" style="4" customWidth="1"/>
    <col min="17" max="17" width="10.7109375" style="4" customWidth="1"/>
    <col min="18" max="18" width="4.28515625" style="4" customWidth="1"/>
    <col min="19" max="19" width="2.85546875" style="4" customWidth="1"/>
    <col min="20" max="21" width="11.42578125" style="4" customWidth="1"/>
    <col min="22" max="22" width="16.7109375" style="4" bestFit="1" customWidth="1"/>
    <col min="23" max="24" width="11.42578125" style="4" customWidth="1"/>
    <col min="25" max="16384" width="11.42578125" style="4"/>
  </cols>
  <sheetData>
    <row r="1" spans="1:22">
      <c r="B1" s="10"/>
      <c r="C1" s="10"/>
      <c r="D1" s="10"/>
      <c r="E1" s="10"/>
      <c r="F1" s="1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</row>
    <row r="2" spans="1:22" ht="15" customHeight="1">
      <c r="B2" s="91"/>
      <c r="C2" s="92"/>
      <c r="D2" s="92"/>
      <c r="E2" s="92"/>
      <c r="F2" s="11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3"/>
      <c r="V2" s="58"/>
    </row>
    <row r="3" spans="1:22" ht="15" customHeight="1">
      <c r="A3" s="9"/>
      <c r="B3" s="5"/>
      <c r="C3" s="6"/>
      <c r="D3" s="6"/>
      <c r="E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94"/>
    </row>
    <row r="4" spans="1:22" ht="15" customHeight="1">
      <c r="A4" s="9"/>
      <c r="B4" s="5"/>
      <c r="C4" s="6"/>
      <c r="D4" s="6"/>
      <c r="E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4"/>
    </row>
    <row r="5" spans="1:22" ht="15" customHeight="1">
      <c r="A5" s="9"/>
      <c r="B5" s="5"/>
      <c r="C5" s="6"/>
      <c r="D5" s="6"/>
      <c r="E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94"/>
    </row>
    <row r="6" spans="1:22" ht="15" customHeight="1" thickBot="1">
      <c r="A6" s="9"/>
      <c r="B6" s="5"/>
      <c r="C6" s="6"/>
      <c r="D6" s="6"/>
      <c r="E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94"/>
    </row>
    <row r="7" spans="1:22" ht="15" hidden="1" customHeight="1">
      <c r="A7" s="9"/>
      <c r="B7" s="5"/>
      <c r="C7" s="6"/>
      <c r="D7" s="6"/>
      <c r="E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94"/>
    </row>
    <row r="8" spans="1:22" s="176" customFormat="1" ht="60" customHeight="1" thickBot="1">
      <c r="A8" s="110"/>
      <c r="B8" s="115"/>
      <c r="C8" s="319" t="str">
        <f>'Page de garde'!C13&amp;" : Détail des prestations réglées - Synthèse par famille d'actes"</f>
        <v xml:space="preserve"> : Détail des prestations réglées - Synthèse par famille d'actes</v>
      </c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1"/>
      <c r="R8" s="116"/>
    </row>
    <row r="9" spans="1:22" s="176" customFormat="1">
      <c r="A9" s="110"/>
      <c r="B9" s="115"/>
      <c r="R9" s="116"/>
    </row>
    <row r="10" spans="1:22" s="176" customFormat="1">
      <c r="A10" s="110"/>
      <c r="B10" s="115"/>
      <c r="R10" s="116"/>
    </row>
    <row r="11" spans="1:22" s="176" customFormat="1">
      <c r="A11" s="110"/>
      <c r="B11" s="115"/>
      <c r="R11" s="116"/>
    </row>
    <row r="12" spans="1:22" s="176" customFormat="1">
      <c r="A12" s="110"/>
      <c r="B12" s="115"/>
      <c r="C12" s="52"/>
      <c r="D12" s="52"/>
      <c r="E12" s="336" t="s">
        <v>163</v>
      </c>
      <c r="F12" s="337"/>
      <c r="G12" s="337"/>
      <c r="H12" s="337"/>
      <c r="I12" s="337"/>
      <c r="J12" s="337"/>
      <c r="K12" s="337"/>
      <c r="L12" s="337"/>
      <c r="M12" s="338"/>
      <c r="N12" s="42"/>
      <c r="O12" s="336" t="s">
        <v>164</v>
      </c>
      <c r="P12" s="337"/>
      <c r="Q12" s="338"/>
      <c r="R12" s="116"/>
    </row>
    <row r="13" spans="1:22" s="176" customFormat="1">
      <c r="A13" s="110"/>
      <c r="B13" s="115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42"/>
      <c r="O13" s="52"/>
      <c r="P13" s="52"/>
      <c r="Q13" s="52"/>
      <c r="R13" s="116"/>
    </row>
    <row r="14" spans="1:22" s="176" customFormat="1" ht="45" customHeight="1">
      <c r="A14" s="110"/>
      <c r="B14" s="115"/>
      <c r="C14" s="52"/>
      <c r="D14" s="52"/>
      <c r="E14" s="244" t="s">
        <v>165</v>
      </c>
      <c r="F14" s="244" t="s">
        <v>233</v>
      </c>
      <c r="G14" s="245" t="s">
        <v>175</v>
      </c>
      <c r="H14" s="246" t="s">
        <v>177</v>
      </c>
      <c r="I14" s="246" t="s">
        <v>178</v>
      </c>
      <c r="J14" s="246" t="s">
        <v>179</v>
      </c>
      <c r="K14" s="247" t="s">
        <v>234</v>
      </c>
      <c r="L14" s="247" t="s">
        <v>180</v>
      </c>
      <c r="M14" s="248" t="s">
        <v>181</v>
      </c>
      <c r="N14" s="42"/>
      <c r="O14" s="249" t="s">
        <v>234</v>
      </c>
      <c r="P14" s="249" t="s">
        <v>180</v>
      </c>
      <c r="Q14" s="248" t="s">
        <v>181</v>
      </c>
      <c r="R14" s="116"/>
    </row>
    <row r="15" spans="1:22" s="176" customFormat="1" ht="15" customHeight="1" thickBot="1">
      <c r="A15" s="110"/>
      <c r="B15" s="115"/>
      <c r="C15" s="108"/>
      <c r="D15" s="109"/>
      <c r="E15" s="157"/>
      <c r="F15" s="171"/>
      <c r="G15" s="158"/>
      <c r="H15" s="158"/>
      <c r="I15" s="158"/>
      <c r="J15" s="158"/>
      <c r="K15" s="158"/>
      <c r="L15" s="159"/>
      <c r="M15" s="159"/>
      <c r="N15" s="144"/>
      <c r="O15" s="158"/>
      <c r="P15" s="159"/>
      <c r="Q15" s="159"/>
      <c r="R15" s="116"/>
    </row>
    <row r="16" spans="1:22" s="176" customFormat="1" ht="15" customHeight="1" thickBot="1">
      <c r="A16" s="110"/>
      <c r="B16" s="115"/>
      <c r="C16" s="250" t="s">
        <v>3</v>
      </c>
      <c r="D16" s="251"/>
      <c r="E16" s="252"/>
      <c r="F16" s="253"/>
      <c r="G16" s="254"/>
      <c r="H16" s="254"/>
      <c r="I16" s="254"/>
      <c r="J16" s="254"/>
      <c r="K16" s="254"/>
      <c r="L16" s="255"/>
      <c r="M16" s="255"/>
      <c r="N16" s="144"/>
      <c r="O16" s="254"/>
      <c r="P16" s="255"/>
      <c r="Q16" s="255"/>
      <c r="R16" s="116"/>
    </row>
    <row r="17" spans="1:19" s="176" customFormat="1" ht="15" customHeight="1">
      <c r="A17" s="110"/>
      <c r="B17" s="115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22"/>
      <c r="Q17" s="22"/>
      <c r="R17" s="116"/>
    </row>
    <row r="18" spans="1:19" s="176" customFormat="1" ht="15" customHeight="1">
      <c r="A18" s="110"/>
      <c r="B18" s="115"/>
      <c r="C18" s="251" t="s">
        <v>235</v>
      </c>
      <c r="D18" s="251"/>
      <c r="E18" s="62"/>
      <c r="F18" s="62"/>
      <c r="G18" s="254"/>
      <c r="H18" s="62"/>
      <c r="I18" s="62"/>
      <c r="J18" s="254"/>
      <c r="K18" s="62"/>
      <c r="L18" s="62"/>
      <c r="M18" s="62"/>
      <c r="N18" s="62"/>
      <c r="O18" s="62"/>
      <c r="P18" s="22"/>
      <c r="Q18" s="22"/>
      <c r="R18" s="116"/>
    </row>
    <row r="19" spans="1:19" s="176" customFormat="1" ht="15" customHeight="1">
      <c r="A19" s="110"/>
      <c r="B19" s="115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22"/>
      <c r="Q19" s="22"/>
      <c r="R19" s="116"/>
    </row>
    <row r="20" spans="1:19" s="176" customFormat="1" ht="15" customHeight="1">
      <c r="A20" s="110"/>
      <c r="B20" s="115"/>
      <c r="C20" s="251" t="s">
        <v>236</v>
      </c>
      <c r="D20" s="251"/>
      <c r="E20" s="62"/>
      <c r="F20" s="62"/>
      <c r="G20" s="62"/>
      <c r="H20" s="256"/>
      <c r="I20" s="256"/>
      <c r="J20" s="256"/>
      <c r="K20" s="62"/>
      <c r="L20" s="62"/>
      <c r="M20" s="62"/>
      <c r="N20" s="62"/>
      <c r="O20" s="62"/>
      <c r="P20" s="22"/>
      <c r="Q20" s="22"/>
      <c r="R20" s="116"/>
    </row>
    <row r="21" spans="1:19" s="86" customFormat="1" ht="15" customHeight="1">
      <c r="A21" s="110"/>
      <c r="B21" s="115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22"/>
      <c r="Q21" s="22"/>
      <c r="R21" s="116"/>
    </row>
    <row r="22" spans="1:19" s="86" customFormat="1" ht="15" customHeight="1">
      <c r="A22" s="110"/>
      <c r="B22" s="115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22"/>
      <c r="Q22" s="22"/>
      <c r="R22" s="116"/>
    </row>
    <row r="23" spans="1:19" s="86" customFormat="1" ht="15" customHeight="1">
      <c r="A23" s="110"/>
      <c r="B23" s="1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22"/>
      <c r="Q23" s="22"/>
      <c r="R23" s="116"/>
    </row>
    <row r="24" spans="1:19" s="86" customFormat="1" ht="15" customHeight="1">
      <c r="A24" s="110"/>
      <c r="B24" s="1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22"/>
      <c r="Q24" s="22"/>
      <c r="R24" s="116"/>
    </row>
    <row r="25" spans="1:19" ht="15" customHeight="1">
      <c r="A25" s="9"/>
      <c r="B25" s="5"/>
      <c r="C25" s="2"/>
      <c r="D25" s="2"/>
      <c r="E25" s="2"/>
      <c r="F25" s="62"/>
      <c r="G25" s="2"/>
      <c r="H25" s="2"/>
      <c r="I25" s="2"/>
      <c r="J25" s="2"/>
      <c r="K25" s="2"/>
      <c r="L25" s="2"/>
      <c r="M25" s="2"/>
      <c r="N25" s="2"/>
      <c r="O25" s="2"/>
      <c r="P25" s="22"/>
      <c r="Q25" s="22"/>
      <c r="R25" s="94"/>
    </row>
    <row r="26" spans="1:19" ht="15" customHeight="1">
      <c r="A26" s="9"/>
      <c r="B26" s="5"/>
      <c r="C26" s="2"/>
      <c r="D26" s="2"/>
      <c r="E26" s="2"/>
      <c r="F26" s="62"/>
      <c r="G26" s="2"/>
      <c r="H26" s="2"/>
      <c r="I26" s="2"/>
      <c r="J26" s="2"/>
      <c r="K26" s="2"/>
      <c r="L26" s="2"/>
      <c r="M26" s="2"/>
      <c r="N26" s="2"/>
      <c r="O26" s="2"/>
      <c r="P26" s="22"/>
      <c r="Q26" s="22"/>
      <c r="R26" s="94"/>
    </row>
    <row r="27" spans="1:19" ht="15" customHeight="1">
      <c r="A27" s="9"/>
      <c r="B27" s="5"/>
      <c r="C27" s="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94"/>
    </row>
    <row r="28" spans="1:19" ht="15" customHeight="1">
      <c r="A28" s="110"/>
      <c r="B28" s="115"/>
      <c r="C28" s="6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116"/>
      <c r="S28" s="86"/>
    </row>
    <row r="29" spans="1:19" ht="15" customHeight="1">
      <c r="A29" s="110"/>
      <c r="B29" s="115"/>
      <c r="C29" s="6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116"/>
      <c r="S29" s="86"/>
    </row>
    <row r="30" spans="1:19" ht="15" customHeight="1">
      <c r="A30" s="110"/>
      <c r="B30" s="115"/>
      <c r="C30" s="6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116"/>
      <c r="S30" s="86"/>
    </row>
    <row r="31" spans="1:19" ht="15" customHeight="1">
      <c r="A31" s="110"/>
      <c r="B31" s="115"/>
      <c r="C31" s="6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116"/>
      <c r="S31" s="86"/>
    </row>
    <row r="32" spans="1:19" ht="15" customHeight="1">
      <c r="A32" s="110"/>
      <c r="B32" s="115"/>
      <c r="C32" s="6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116"/>
      <c r="S32" s="86"/>
    </row>
    <row r="33" spans="1:19" ht="15" customHeight="1">
      <c r="A33" s="110"/>
      <c r="B33" s="115"/>
      <c r="C33" s="6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116"/>
      <c r="S33" s="86"/>
    </row>
    <row r="34" spans="1:19" ht="15" customHeight="1">
      <c r="A34" s="9"/>
      <c r="B34" s="5"/>
      <c r="C34" s="2"/>
      <c r="D34" s="2"/>
      <c r="E34" s="2"/>
      <c r="F34" s="62"/>
      <c r="G34" s="2"/>
      <c r="H34" s="2"/>
      <c r="I34" s="2"/>
      <c r="J34" s="2"/>
      <c r="K34" s="2"/>
      <c r="L34" s="2"/>
      <c r="M34" s="2"/>
      <c r="N34" s="2"/>
      <c r="O34" s="2"/>
      <c r="P34" s="22"/>
      <c r="Q34" s="22"/>
      <c r="R34" s="94"/>
    </row>
    <row r="35" spans="1:19" ht="12" customHeight="1">
      <c r="A35" s="9"/>
      <c r="B35" s="7"/>
      <c r="C35" s="79"/>
      <c r="D35" s="79"/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79"/>
      <c r="P35" s="80"/>
      <c r="Q35" s="80"/>
      <c r="R35" s="95"/>
    </row>
    <row r="36" spans="1:19" ht="15" customHeight="1">
      <c r="A36" s="9"/>
      <c r="B36" s="6"/>
      <c r="C36" s="2"/>
      <c r="D36" s="2"/>
      <c r="E36" s="2"/>
      <c r="F36" s="62"/>
      <c r="G36" s="2"/>
      <c r="H36" s="2"/>
      <c r="I36" s="2"/>
      <c r="J36" s="2"/>
      <c r="K36" s="2"/>
      <c r="L36" s="2"/>
      <c r="M36" s="2"/>
      <c r="N36" s="2"/>
      <c r="O36" s="2"/>
      <c r="P36" s="22"/>
      <c r="Q36" s="22"/>
      <c r="R36" s="11"/>
    </row>
    <row r="37" spans="1:19" ht="15" customHeight="1">
      <c r="A37" s="9"/>
      <c r="B37" s="6"/>
      <c r="C37" s="2"/>
      <c r="D37" s="2"/>
      <c r="E37" s="2"/>
      <c r="F37" s="62"/>
      <c r="G37" s="2"/>
      <c r="H37" s="2"/>
      <c r="I37" s="2"/>
      <c r="J37" s="2"/>
      <c r="K37" s="2"/>
      <c r="L37" s="2"/>
      <c r="M37" s="2"/>
      <c r="N37" s="2"/>
      <c r="O37" s="2"/>
      <c r="P37" s="22"/>
      <c r="Q37" s="22"/>
      <c r="R37" s="11"/>
    </row>
    <row r="38" spans="1:19" ht="15.75">
      <c r="A38" s="9"/>
      <c r="G38" s="2"/>
      <c r="H38" s="2"/>
      <c r="I38" s="2"/>
      <c r="J38" s="2"/>
      <c r="K38" s="2"/>
      <c r="L38" s="2"/>
      <c r="M38" s="2"/>
      <c r="N38" s="2"/>
      <c r="O38" s="2"/>
      <c r="P38" s="22"/>
      <c r="Q38" s="22"/>
    </row>
    <row r="39" spans="1:19" ht="15.75">
      <c r="A39" s="9"/>
      <c r="G39" s="2"/>
      <c r="H39" s="2"/>
      <c r="I39" s="2"/>
      <c r="J39" s="2"/>
      <c r="K39" s="2"/>
      <c r="L39" s="2"/>
      <c r="M39" s="2"/>
      <c r="N39" s="2"/>
      <c r="O39" s="2"/>
      <c r="P39" s="22"/>
      <c r="Q39" s="22"/>
    </row>
    <row r="40" spans="1:19" ht="15.75">
      <c r="G40" s="2"/>
      <c r="H40" s="2"/>
      <c r="I40" s="2"/>
      <c r="J40" s="2"/>
      <c r="K40" s="2"/>
      <c r="L40" s="2"/>
      <c r="M40" s="2"/>
      <c r="N40" s="2"/>
      <c r="O40" s="2"/>
      <c r="P40" s="22"/>
      <c r="Q40" s="22"/>
    </row>
    <row r="41" spans="1:19" ht="15.75">
      <c r="G41" s="2"/>
      <c r="H41" s="2"/>
      <c r="I41" s="2"/>
      <c r="J41" s="2"/>
      <c r="K41" s="2"/>
      <c r="L41" s="2"/>
      <c r="M41" s="2"/>
      <c r="N41" s="2"/>
      <c r="O41" s="2"/>
      <c r="P41" s="22"/>
      <c r="Q41" s="22"/>
    </row>
    <row r="42" spans="1:19" ht="15.75">
      <c r="G42" s="2"/>
      <c r="H42" s="2"/>
      <c r="I42" s="2"/>
      <c r="J42" s="2"/>
      <c r="K42" s="2"/>
      <c r="L42" s="2"/>
      <c r="M42" s="2"/>
      <c r="N42" s="2"/>
      <c r="O42" s="2"/>
      <c r="P42" s="22"/>
      <c r="Q42" s="22"/>
    </row>
    <row r="43" spans="1:19" ht="15.75">
      <c r="G43" s="2"/>
      <c r="H43" s="2"/>
      <c r="I43" s="2"/>
      <c r="J43" s="2"/>
      <c r="K43" s="2"/>
      <c r="L43" s="2"/>
      <c r="M43" s="2"/>
      <c r="N43" s="2"/>
      <c r="O43" s="2"/>
      <c r="P43" s="22"/>
      <c r="Q43" s="22"/>
    </row>
    <row r="44" spans="1:19" ht="15.75">
      <c r="G44" s="2"/>
      <c r="H44" s="2"/>
      <c r="I44" s="2"/>
      <c r="J44" s="2"/>
      <c r="K44" s="2"/>
      <c r="L44" s="2"/>
      <c r="M44" s="2"/>
      <c r="N44" s="2"/>
      <c r="O44" s="2"/>
      <c r="P44" s="22"/>
      <c r="Q44" s="22"/>
    </row>
    <row r="45" spans="1:19" ht="15.75">
      <c r="G45" s="2"/>
      <c r="H45" s="2"/>
      <c r="I45" s="2"/>
      <c r="J45" s="2"/>
      <c r="K45" s="2"/>
      <c r="L45" s="2"/>
      <c r="M45" s="2"/>
      <c r="N45" s="2"/>
      <c r="O45" s="2"/>
      <c r="P45" s="22"/>
      <c r="Q45" s="22"/>
    </row>
    <row r="46" spans="1:19" ht="15.75">
      <c r="G46" s="2"/>
      <c r="H46" s="2"/>
      <c r="I46" s="2"/>
      <c r="J46" s="2"/>
      <c r="K46" s="2"/>
      <c r="L46" s="2"/>
      <c r="M46" s="2"/>
      <c r="N46" s="2"/>
      <c r="O46" s="2"/>
      <c r="P46" s="22"/>
      <c r="Q46" s="22"/>
    </row>
    <row r="47" spans="1:19" ht="15.75">
      <c r="G47" s="2"/>
      <c r="H47" s="2"/>
      <c r="I47" s="2"/>
      <c r="J47" s="2"/>
      <c r="K47" s="2"/>
      <c r="L47" s="2"/>
      <c r="M47" s="2"/>
      <c r="N47" s="2"/>
      <c r="O47" s="2"/>
      <c r="P47" s="22"/>
      <c r="Q47" s="22"/>
    </row>
    <row r="48" spans="1:19" ht="15.75">
      <c r="G48" s="2"/>
      <c r="H48" s="2"/>
      <c r="I48" s="2"/>
      <c r="J48" s="2"/>
      <c r="K48" s="2"/>
      <c r="L48" s="2"/>
      <c r="M48" s="2"/>
      <c r="N48" s="2"/>
      <c r="O48" s="2"/>
      <c r="P48" s="22"/>
      <c r="Q48" s="22"/>
    </row>
    <row r="49" spans="7:17" ht="15.75">
      <c r="G49" s="2"/>
      <c r="H49" s="2"/>
      <c r="I49" s="2"/>
      <c r="J49" s="2"/>
      <c r="K49" s="2"/>
      <c r="L49" s="2"/>
      <c r="M49" s="2"/>
      <c r="N49" s="2"/>
      <c r="O49" s="2"/>
      <c r="P49" s="22"/>
      <c r="Q49" s="22"/>
    </row>
    <row r="50" spans="7:17" ht="15.75">
      <c r="G50" s="2"/>
      <c r="H50" s="2"/>
      <c r="I50" s="2"/>
      <c r="J50" s="2"/>
      <c r="K50" s="2"/>
      <c r="L50" s="2"/>
      <c r="M50" s="2"/>
      <c r="N50" s="2"/>
      <c r="O50" s="2"/>
      <c r="P50" s="22"/>
      <c r="Q50" s="22"/>
    </row>
    <row r="51" spans="7:17" ht="15.75">
      <c r="G51" s="2"/>
      <c r="H51" s="2"/>
      <c r="I51" s="2"/>
      <c r="J51" s="2"/>
      <c r="K51" s="2"/>
      <c r="L51" s="2"/>
      <c r="M51" s="2"/>
      <c r="N51" s="2"/>
      <c r="O51" s="2"/>
      <c r="P51" s="22"/>
      <c r="Q51" s="22"/>
    </row>
    <row r="52" spans="7:17" ht="15.75">
      <c r="G52" s="2"/>
      <c r="H52" s="2"/>
      <c r="I52" s="2"/>
      <c r="J52" s="2"/>
      <c r="K52" s="2"/>
      <c r="L52" s="2"/>
      <c r="M52" s="2"/>
      <c r="N52" s="2"/>
      <c r="O52" s="2"/>
      <c r="P52" s="22"/>
      <c r="Q52" s="22"/>
    </row>
    <row r="53" spans="7:17" ht="15.75">
      <c r="G53" s="2"/>
      <c r="H53" s="2"/>
      <c r="I53" s="2"/>
      <c r="J53" s="2"/>
      <c r="K53" s="2"/>
      <c r="L53" s="2"/>
      <c r="M53" s="2"/>
      <c r="N53" s="2"/>
      <c r="O53" s="2"/>
      <c r="P53" s="22"/>
      <c r="Q53" s="22"/>
    </row>
    <row r="54" spans="7:17" ht="15.75">
      <c r="G54" s="2"/>
      <c r="H54" s="2"/>
      <c r="I54" s="2"/>
      <c r="J54" s="2"/>
      <c r="K54" s="2"/>
      <c r="L54" s="2"/>
      <c r="M54" s="2"/>
      <c r="N54" s="2"/>
      <c r="O54" s="2"/>
      <c r="P54" s="22"/>
      <c r="Q54" s="22"/>
    </row>
    <row r="55" spans="7:17" ht="15.75">
      <c r="G55" s="2"/>
      <c r="H55" s="2"/>
      <c r="I55" s="2"/>
      <c r="J55" s="2"/>
      <c r="K55" s="2"/>
      <c r="L55" s="2"/>
      <c r="M55" s="2"/>
      <c r="N55" s="2"/>
      <c r="O55" s="2"/>
      <c r="P55" s="22"/>
      <c r="Q55" s="22"/>
    </row>
    <row r="56" spans="7:17" ht="15.75">
      <c r="G56" s="2"/>
      <c r="H56" s="2"/>
      <c r="I56" s="2"/>
      <c r="J56" s="2"/>
      <c r="K56" s="2"/>
      <c r="L56" s="2"/>
      <c r="M56" s="2"/>
      <c r="N56" s="2"/>
      <c r="O56" s="2"/>
      <c r="P56" s="22"/>
      <c r="Q56" s="22"/>
    </row>
    <row r="57" spans="7:17" ht="15.75">
      <c r="G57" s="2"/>
      <c r="H57" s="2"/>
      <c r="I57" s="2"/>
      <c r="J57" s="2"/>
      <c r="K57" s="2"/>
      <c r="L57" s="2"/>
      <c r="M57" s="2"/>
      <c r="N57" s="2"/>
      <c r="O57" s="2"/>
      <c r="P57" s="22"/>
      <c r="Q57" s="22"/>
    </row>
    <row r="58" spans="7:17" ht="15.75">
      <c r="G58" s="2"/>
      <c r="H58" s="2"/>
      <c r="I58" s="2"/>
      <c r="J58" s="2"/>
      <c r="K58" s="2"/>
      <c r="L58" s="2"/>
      <c r="M58" s="2"/>
      <c r="N58" s="2"/>
      <c r="O58" s="2"/>
      <c r="P58" s="22"/>
      <c r="Q58" s="22"/>
    </row>
    <row r="59" spans="7:17" ht="15.75">
      <c r="G59" s="2"/>
      <c r="H59" s="2"/>
      <c r="I59" s="2"/>
      <c r="J59" s="2"/>
      <c r="K59" s="2"/>
      <c r="L59" s="2"/>
      <c r="M59" s="2"/>
      <c r="N59" s="2"/>
      <c r="O59" s="2"/>
      <c r="P59" s="22"/>
      <c r="Q59" s="22"/>
    </row>
    <row r="60" spans="7:17" ht="15.75">
      <c r="G60" s="2"/>
      <c r="H60" s="2"/>
      <c r="I60" s="2"/>
      <c r="J60" s="2"/>
      <c r="K60" s="2"/>
      <c r="L60" s="2"/>
      <c r="M60" s="2"/>
      <c r="N60" s="2"/>
      <c r="O60" s="2"/>
      <c r="P60" s="22"/>
      <c r="Q60" s="22"/>
    </row>
  </sheetData>
  <mergeCells count="3">
    <mergeCell ref="O12:Q12"/>
    <mergeCell ref="E12:M12"/>
    <mergeCell ref="C8:Q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>
    <tabColor theme="4" tint="0.79998168889431442"/>
  </sheetPr>
  <dimension ref="A1:U58"/>
  <sheetViews>
    <sheetView showGridLines="0" topLeftCell="C7" zoomScaleNormal="100" workbookViewId="0">
      <selection activeCell="A16" sqref="A16:XFD16"/>
    </sheetView>
  </sheetViews>
  <sheetFormatPr defaultColWidth="11.42578125" defaultRowHeight="15"/>
  <cols>
    <col min="1" max="1" width="2.85546875" style="110" customWidth="1"/>
    <col min="2" max="2" width="4.28515625" style="86" customWidth="1"/>
    <col min="3" max="6" width="11.42578125" style="86" customWidth="1"/>
    <col min="7" max="7" width="12.85546875" style="86" customWidth="1"/>
    <col min="8" max="8" width="31.28515625" style="86" customWidth="1"/>
    <col min="9" max="11" width="21.42578125" style="86" customWidth="1"/>
    <col min="12" max="12" width="11.42578125" style="86" customWidth="1"/>
    <col min="13" max="13" width="5.7109375" style="86" customWidth="1"/>
    <col min="14" max="16" width="11.42578125" style="86" customWidth="1"/>
    <col min="17" max="17" width="4.28515625" style="86" customWidth="1"/>
    <col min="18" max="18" width="2.85546875" style="86" customWidth="1"/>
    <col min="19" max="20" width="11.42578125" style="86" customWidth="1"/>
    <col min="21" max="21" width="16.7109375" style="86" bestFit="1" customWidth="1"/>
    <col min="22" max="23" width="11.42578125" style="86" customWidth="1"/>
    <col min="24" max="16384" width="11.42578125" style="86"/>
  </cols>
  <sheetData>
    <row r="1" spans="1:21"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</row>
    <row r="2" spans="1:21" ht="15" customHeight="1">
      <c r="B2" s="111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3"/>
      <c r="U2" s="58"/>
    </row>
    <row r="3" spans="1:21" ht="15" customHeight="1">
      <c r="B3" s="115"/>
      <c r="Q3" s="116"/>
    </row>
    <row r="4" spans="1:21" ht="15" customHeight="1">
      <c r="B4" s="115"/>
      <c r="Q4" s="116"/>
    </row>
    <row r="5" spans="1:21" ht="15" customHeight="1">
      <c r="B5" s="115"/>
      <c r="Q5" s="116"/>
    </row>
    <row r="6" spans="1:21" ht="15" customHeight="1">
      <c r="B6" s="115"/>
      <c r="Q6" s="116"/>
    </row>
    <row r="7" spans="1:21" ht="15" customHeight="1">
      <c r="B7" s="115"/>
      <c r="Q7" s="116"/>
    </row>
    <row r="8" spans="1:21" s="176" customFormat="1" ht="60" customHeight="1" thickBot="1">
      <c r="A8" s="110"/>
      <c r="B8" s="115"/>
      <c r="C8" s="319" t="str">
        <f>'Page de garde'!C13&amp;" : Détail des prestations réglées - Remboursements KERIALIS N / N-1"</f>
        <v xml:space="preserve"> : Détail des prestations réglées - Remboursements KERIALIS N / N-1</v>
      </c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1"/>
      <c r="R8" s="116"/>
    </row>
    <row r="9" spans="1:21" hidden="1">
      <c r="B9" s="115"/>
      <c r="Q9" s="116"/>
    </row>
    <row r="10" spans="1:21" hidden="1">
      <c r="B10" s="115"/>
      <c r="Q10" s="116"/>
    </row>
    <row r="11" spans="1:21">
      <c r="B11" s="115"/>
      <c r="Q11" s="116"/>
    </row>
    <row r="12" spans="1:21">
      <c r="B12" s="115"/>
      <c r="C12" s="52"/>
      <c r="D12" s="52"/>
      <c r="M12" s="42"/>
      <c r="Q12" s="116"/>
    </row>
    <row r="13" spans="1:21">
      <c r="B13" s="115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42"/>
      <c r="Q13" s="116"/>
    </row>
    <row r="14" spans="1:21" ht="45" customHeight="1">
      <c r="B14" s="115"/>
      <c r="C14" s="52"/>
      <c r="D14" s="52"/>
      <c r="E14" s="52"/>
      <c r="F14" s="52"/>
      <c r="G14" s="52"/>
      <c r="H14" s="52"/>
      <c r="I14" s="246" t="s">
        <v>0</v>
      </c>
      <c r="J14" s="246" t="s">
        <v>1</v>
      </c>
      <c r="K14" s="245" t="s">
        <v>2</v>
      </c>
      <c r="L14" s="52"/>
      <c r="M14" s="42"/>
      <c r="Q14" s="116"/>
    </row>
    <row r="15" spans="1:21" ht="15" customHeight="1" thickBot="1">
      <c r="B15" s="115"/>
      <c r="C15" s="62"/>
      <c r="D15" s="62"/>
      <c r="E15" s="62"/>
      <c r="F15" s="62"/>
      <c r="G15" s="257"/>
      <c r="H15" s="258"/>
      <c r="I15" s="259"/>
      <c r="J15" s="259"/>
      <c r="K15" s="260"/>
      <c r="L15" s="52"/>
      <c r="M15" s="144"/>
      <c r="Q15" s="116"/>
    </row>
    <row r="16" spans="1:21" ht="15" customHeight="1" thickBot="1">
      <c r="B16" s="115"/>
      <c r="C16" s="62"/>
      <c r="D16" s="62"/>
      <c r="E16" s="62"/>
      <c r="F16" s="62"/>
      <c r="G16" s="261" t="s">
        <v>3</v>
      </c>
      <c r="H16" s="261"/>
      <c r="I16" s="262"/>
      <c r="J16" s="262"/>
      <c r="K16" s="263"/>
      <c r="L16" s="52"/>
      <c r="M16" s="144"/>
      <c r="Q16" s="116"/>
    </row>
    <row r="17" spans="2:17" ht="15" customHeight="1">
      <c r="B17" s="115"/>
      <c r="C17" s="62"/>
      <c r="D17" s="62"/>
      <c r="E17" s="62"/>
      <c r="F17" s="62"/>
      <c r="G17" s="264"/>
      <c r="H17" s="264"/>
      <c r="I17" s="264"/>
      <c r="J17" s="264"/>
      <c r="K17" s="264"/>
      <c r="L17" s="52"/>
      <c r="M17" s="62"/>
      <c r="Q17" s="116"/>
    </row>
    <row r="18" spans="2:17" ht="15" customHeight="1">
      <c r="B18" s="115"/>
      <c r="C18" s="62"/>
      <c r="D18" s="62"/>
      <c r="E18" s="62"/>
      <c r="F18" s="62"/>
      <c r="G18" s="257" t="s">
        <v>4</v>
      </c>
      <c r="H18" s="258"/>
      <c r="I18" s="265"/>
      <c r="J18" s="265"/>
      <c r="K18" s="260"/>
      <c r="L18" s="52"/>
      <c r="M18" s="62"/>
      <c r="Q18" s="116"/>
    </row>
    <row r="19" spans="2:17" ht="15" customHeight="1">
      <c r="B19" s="115"/>
      <c r="C19" s="62"/>
      <c r="D19" s="62"/>
      <c r="E19" s="62"/>
      <c r="F19" s="62"/>
      <c r="G19" s="266" t="s">
        <v>5</v>
      </c>
      <c r="H19" s="267"/>
      <c r="I19" s="268"/>
      <c r="J19" s="268"/>
      <c r="K19" s="269"/>
      <c r="L19" s="62"/>
      <c r="M19" s="62"/>
      <c r="N19" s="62"/>
      <c r="O19" s="22"/>
      <c r="P19" s="22"/>
      <c r="Q19" s="116"/>
    </row>
    <row r="20" spans="2:17" ht="15" customHeight="1">
      <c r="B20" s="115"/>
      <c r="C20" s="62"/>
      <c r="D20" s="62"/>
      <c r="E20" s="62"/>
      <c r="F20" s="62"/>
      <c r="G20" s="266" t="s">
        <v>6</v>
      </c>
      <c r="H20" s="267"/>
      <c r="I20" s="268"/>
      <c r="J20" s="268"/>
      <c r="K20" s="269"/>
      <c r="L20" s="62"/>
      <c r="M20" s="62"/>
      <c r="N20" s="62"/>
      <c r="O20" s="22"/>
      <c r="P20" s="22"/>
      <c r="Q20" s="116"/>
    </row>
    <row r="21" spans="2:17" ht="15" customHeight="1">
      <c r="B21" s="115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22"/>
      <c r="P21" s="22"/>
      <c r="Q21" s="116"/>
    </row>
    <row r="22" spans="2:17" ht="15" customHeight="1">
      <c r="B22" s="115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22"/>
      <c r="P22" s="22"/>
      <c r="Q22" s="116"/>
    </row>
    <row r="23" spans="2:17" ht="15" customHeight="1">
      <c r="B23" s="1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22"/>
      <c r="P23" s="22"/>
      <c r="Q23" s="116"/>
    </row>
    <row r="24" spans="2:17" ht="15" customHeight="1">
      <c r="B24" s="1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22"/>
      <c r="P24" s="22"/>
      <c r="Q24" s="116"/>
    </row>
    <row r="25" spans="2:17" ht="15" customHeight="1">
      <c r="B25" s="115"/>
      <c r="C25" s="6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116"/>
    </row>
    <row r="26" spans="2:17" ht="15" customHeight="1">
      <c r="B26" s="115"/>
      <c r="C26" s="107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4"/>
      <c r="Q26" s="116"/>
    </row>
    <row r="27" spans="2:17" ht="15" customHeight="1">
      <c r="B27" s="115"/>
      <c r="C27" s="106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105"/>
      <c r="Q27" s="116"/>
    </row>
    <row r="28" spans="2:17" ht="15" customHeight="1">
      <c r="B28" s="115"/>
      <c r="C28" s="106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105"/>
      <c r="Q28" s="116"/>
    </row>
    <row r="29" spans="2:17" ht="15" customHeight="1">
      <c r="B29" s="115"/>
      <c r="C29" s="81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82"/>
      <c r="Q29" s="116"/>
    </row>
    <row r="30" spans="2:17" ht="15" customHeight="1">
      <c r="B30" s="115"/>
      <c r="C30" s="81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82"/>
      <c r="Q30" s="116"/>
    </row>
    <row r="31" spans="2:17" ht="15" customHeight="1">
      <c r="B31" s="115"/>
      <c r="C31" s="83"/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5"/>
      <c r="Q31" s="116"/>
    </row>
    <row r="32" spans="2:17" ht="15" customHeight="1">
      <c r="B32" s="115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22"/>
      <c r="P32" s="22"/>
      <c r="Q32" s="116"/>
    </row>
    <row r="33" spans="2:17" ht="12" customHeight="1">
      <c r="B33" s="141"/>
      <c r="C33" s="79"/>
      <c r="D33" s="79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80"/>
      <c r="P33" s="80"/>
      <c r="Q33" s="143"/>
    </row>
    <row r="34" spans="2:17" ht="15" customHeight="1"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22"/>
      <c r="P34" s="22"/>
    </row>
    <row r="35" spans="2:17" ht="15" customHeight="1"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22"/>
      <c r="P35" s="22"/>
    </row>
    <row r="36" spans="2:17" ht="15.75">
      <c r="F36" s="62"/>
      <c r="G36" s="62"/>
      <c r="H36" s="62"/>
      <c r="I36" s="62"/>
      <c r="J36" s="62"/>
      <c r="K36" s="62"/>
      <c r="L36" s="62"/>
      <c r="M36" s="62"/>
      <c r="N36" s="62"/>
      <c r="O36" s="22"/>
      <c r="P36" s="22"/>
    </row>
    <row r="37" spans="2:17" ht="15.75">
      <c r="F37" s="62"/>
      <c r="G37" s="62"/>
      <c r="H37" s="62"/>
      <c r="I37" s="62"/>
      <c r="J37" s="62"/>
      <c r="K37" s="62"/>
      <c r="L37" s="62"/>
      <c r="M37" s="62"/>
      <c r="N37" s="62"/>
      <c r="O37" s="22"/>
      <c r="P37" s="22"/>
    </row>
    <row r="38" spans="2:17" ht="15.75">
      <c r="F38" s="62"/>
      <c r="G38" s="62"/>
      <c r="H38" s="62"/>
      <c r="I38" s="62"/>
      <c r="J38" s="62"/>
      <c r="K38" s="62"/>
      <c r="L38" s="62"/>
      <c r="M38" s="62"/>
      <c r="N38" s="62"/>
      <c r="O38" s="22"/>
      <c r="P38" s="22"/>
    </row>
    <row r="39" spans="2:17" ht="15.75">
      <c r="F39" s="62"/>
      <c r="G39" s="62"/>
      <c r="H39" s="62"/>
      <c r="I39" s="62"/>
      <c r="J39" s="62"/>
      <c r="K39" s="62"/>
      <c r="L39" s="62"/>
      <c r="M39" s="62"/>
      <c r="N39" s="62"/>
      <c r="O39" s="22"/>
      <c r="P39" s="22"/>
    </row>
    <row r="40" spans="2:17" ht="15.75">
      <c r="F40" s="62"/>
      <c r="G40" s="62"/>
      <c r="H40" s="62"/>
      <c r="I40" s="62"/>
      <c r="J40" s="62"/>
      <c r="K40" s="62"/>
      <c r="L40" s="62"/>
      <c r="M40" s="62"/>
      <c r="N40" s="62"/>
      <c r="O40" s="22"/>
      <c r="P40" s="22"/>
    </row>
    <row r="41" spans="2:17" ht="15.75">
      <c r="F41" s="62"/>
      <c r="G41" s="62"/>
      <c r="H41" s="62"/>
      <c r="I41" s="62"/>
      <c r="J41" s="62"/>
      <c r="K41" s="62"/>
      <c r="L41" s="62"/>
      <c r="M41" s="62"/>
      <c r="N41" s="62"/>
      <c r="O41" s="22"/>
      <c r="P41" s="22"/>
    </row>
    <row r="42" spans="2:17" ht="15.75">
      <c r="F42" s="62"/>
      <c r="G42" s="62"/>
      <c r="H42" s="62"/>
      <c r="I42" s="62"/>
      <c r="J42" s="62"/>
      <c r="K42" s="62"/>
      <c r="L42" s="62"/>
      <c r="M42" s="62"/>
      <c r="N42" s="62"/>
      <c r="O42" s="22"/>
      <c r="P42" s="22"/>
    </row>
    <row r="43" spans="2:17" ht="15.75">
      <c r="F43" s="62"/>
      <c r="G43" s="62"/>
      <c r="H43" s="62"/>
      <c r="I43" s="62"/>
      <c r="J43" s="62"/>
      <c r="K43" s="62"/>
      <c r="L43" s="62"/>
      <c r="M43" s="62"/>
      <c r="N43" s="62"/>
      <c r="O43" s="22"/>
      <c r="P43" s="22"/>
    </row>
    <row r="44" spans="2:17" ht="15.75">
      <c r="F44" s="62"/>
      <c r="G44" s="62"/>
      <c r="H44" s="62"/>
      <c r="I44" s="62"/>
      <c r="J44" s="62"/>
      <c r="K44" s="62"/>
      <c r="L44" s="62"/>
      <c r="M44" s="62"/>
      <c r="N44" s="62"/>
      <c r="O44" s="22"/>
      <c r="P44" s="22"/>
    </row>
    <row r="45" spans="2:17" ht="15.75">
      <c r="F45" s="62"/>
      <c r="G45" s="62"/>
      <c r="H45" s="62"/>
      <c r="I45" s="62"/>
      <c r="J45" s="62"/>
      <c r="K45" s="62"/>
      <c r="L45" s="62"/>
      <c r="M45" s="62"/>
      <c r="N45" s="62"/>
      <c r="O45" s="22"/>
      <c r="P45" s="22"/>
    </row>
    <row r="46" spans="2:17" ht="15.75">
      <c r="F46" s="62"/>
      <c r="G46" s="62"/>
      <c r="H46" s="62"/>
      <c r="I46" s="62"/>
      <c r="J46" s="62"/>
      <c r="K46" s="62"/>
      <c r="L46" s="62"/>
      <c r="M46" s="62"/>
      <c r="N46" s="62"/>
      <c r="O46" s="22"/>
      <c r="P46" s="22"/>
    </row>
    <row r="47" spans="2:17" ht="15.75">
      <c r="F47" s="62"/>
      <c r="G47" s="62"/>
      <c r="H47" s="62"/>
      <c r="I47" s="62"/>
      <c r="J47" s="62"/>
      <c r="K47" s="62"/>
      <c r="L47" s="62"/>
      <c r="M47" s="62"/>
      <c r="N47" s="62"/>
      <c r="O47" s="22"/>
      <c r="P47" s="22"/>
    </row>
    <row r="48" spans="2:17" ht="15.75">
      <c r="F48" s="62"/>
      <c r="G48" s="62"/>
      <c r="H48" s="62"/>
      <c r="I48" s="62"/>
      <c r="J48" s="62"/>
      <c r="K48" s="62"/>
      <c r="L48" s="62"/>
      <c r="M48" s="62"/>
      <c r="N48" s="62"/>
      <c r="O48" s="22"/>
      <c r="P48" s="22"/>
    </row>
    <row r="49" spans="6:16" ht="15.75">
      <c r="F49" s="62"/>
      <c r="G49" s="62"/>
      <c r="H49" s="62"/>
      <c r="I49" s="62"/>
      <c r="J49" s="62"/>
      <c r="K49" s="62"/>
      <c r="L49" s="62"/>
      <c r="M49" s="62"/>
      <c r="N49" s="62"/>
      <c r="O49" s="22"/>
      <c r="P49" s="22"/>
    </row>
    <row r="50" spans="6:16" ht="15.75">
      <c r="F50" s="62"/>
      <c r="G50" s="62"/>
      <c r="H50" s="62"/>
      <c r="I50" s="62"/>
      <c r="J50" s="62"/>
      <c r="K50" s="62"/>
      <c r="L50" s="62"/>
      <c r="M50" s="62"/>
      <c r="N50" s="62"/>
      <c r="O50" s="22"/>
      <c r="P50" s="22"/>
    </row>
    <row r="51" spans="6:16" ht="15.75">
      <c r="F51" s="62"/>
      <c r="G51" s="62"/>
      <c r="H51" s="62"/>
      <c r="I51" s="62"/>
      <c r="J51" s="62"/>
      <c r="K51" s="62"/>
      <c r="L51" s="62"/>
      <c r="M51" s="62"/>
      <c r="N51" s="62"/>
      <c r="O51" s="22"/>
      <c r="P51" s="22"/>
    </row>
    <row r="52" spans="6:16" ht="15.75">
      <c r="F52" s="62"/>
      <c r="G52" s="62"/>
      <c r="H52" s="62"/>
      <c r="I52" s="62"/>
      <c r="J52" s="62"/>
      <c r="K52" s="62"/>
      <c r="L52" s="62"/>
      <c r="M52" s="62"/>
      <c r="N52" s="62"/>
      <c r="O52" s="22"/>
      <c r="P52" s="22"/>
    </row>
    <row r="53" spans="6:16" ht="15.75">
      <c r="F53" s="62"/>
      <c r="G53" s="62"/>
      <c r="H53" s="62"/>
      <c r="I53" s="62"/>
      <c r="J53" s="62"/>
      <c r="K53" s="62"/>
      <c r="L53" s="62"/>
      <c r="M53" s="62"/>
      <c r="N53" s="62"/>
      <c r="O53" s="22"/>
      <c r="P53" s="22"/>
    </row>
    <row r="54" spans="6:16" ht="15.75">
      <c r="F54" s="62"/>
      <c r="G54" s="62"/>
      <c r="H54" s="62"/>
      <c r="I54" s="62"/>
      <c r="J54" s="62"/>
      <c r="K54" s="62"/>
      <c r="L54" s="62"/>
      <c r="M54" s="62"/>
      <c r="N54" s="62"/>
      <c r="O54" s="22"/>
      <c r="P54" s="22"/>
    </row>
    <row r="55" spans="6:16" ht="15.75">
      <c r="F55" s="62"/>
      <c r="G55" s="62"/>
      <c r="H55" s="62"/>
      <c r="I55" s="62"/>
      <c r="J55" s="62"/>
      <c r="K55" s="62"/>
      <c r="L55" s="62"/>
      <c r="M55" s="62"/>
      <c r="N55" s="62"/>
      <c r="O55" s="22"/>
      <c r="P55" s="22"/>
    </row>
    <row r="56" spans="6:16" ht="15.75">
      <c r="F56" s="62"/>
      <c r="G56" s="62"/>
      <c r="H56" s="62"/>
      <c r="I56" s="62"/>
      <c r="J56" s="62"/>
      <c r="K56" s="62"/>
      <c r="L56" s="62"/>
      <c r="M56" s="62"/>
      <c r="N56" s="62"/>
      <c r="O56" s="22"/>
      <c r="P56" s="22"/>
    </row>
    <row r="57" spans="6:16" ht="15.75">
      <c r="F57" s="62"/>
      <c r="G57" s="62"/>
      <c r="H57" s="62"/>
      <c r="I57" s="62"/>
      <c r="J57" s="62"/>
      <c r="K57" s="62"/>
      <c r="L57" s="62"/>
      <c r="M57" s="62"/>
      <c r="N57" s="62"/>
      <c r="O57" s="22"/>
      <c r="P57" s="22"/>
    </row>
    <row r="58" spans="6:16" ht="15.75">
      <c r="F58" s="62"/>
      <c r="G58" s="62"/>
      <c r="H58" s="62"/>
      <c r="I58" s="62"/>
      <c r="J58" s="62"/>
      <c r="K58" s="62"/>
      <c r="L58" s="62"/>
      <c r="M58" s="62"/>
      <c r="N58" s="62"/>
      <c r="O58" s="22"/>
      <c r="P58" s="22"/>
    </row>
  </sheetData>
  <mergeCells count="1">
    <mergeCell ref="C8:Q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>
    <tabColor theme="4" tint="0.79998168889431442"/>
  </sheetPr>
  <dimension ref="A1:AD73"/>
  <sheetViews>
    <sheetView showGridLines="0" topLeftCell="A48" workbookViewId="0">
      <selection activeCell="H66" sqref="H66"/>
    </sheetView>
  </sheetViews>
  <sheetFormatPr defaultColWidth="11.42578125" defaultRowHeight="15"/>
  <cols>
    <col min="1" max="1" width="2.85546875" style="110" customWidth="1"/>
    <col min="2" max="2" width="4.28515625" style="86" customWidth="1"/>
    <col min="3" max="3" width="14.28515625" style="86" customWidth="1"/>
    <col min="4" max="9" width="11.42578125" style="86" customWidth="1"/>
    <col min="10" max="11" width="18.5703125" style="86" customWidth="1"/>
    <col min="12" max="12" width="4.28515625" style="86" customWidth="1"/>
    <col min="13" max="16" width="11.42578125" style="86" customWidth="1"/>
    <col min="17" max="17" width="14.28515625" style="86" customWidth="1"/>
    <col min="18" max="18" width="21.42578125" style="86" customWidth="1"/>
    <col min="19" max="19" width="4.28515625" style="86" customWidth="1"/>
    <col min="20" max="20" width="2.85546875" style="86" customWidth="1"/>
    <col min="21" max="22" width="11.42578125" style="86" customWidth="1"/>
    <col min="23" max="16384" width="11.42578125" style="86"/>
  </cols>
  <sheetData>
    <row r="1" spans="1:30"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</row>
    <row r="2" spans="1:30">
      <c r="B2" s="111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3"/>
    </row>
    <row r="3" spans="1:30">
      <c r="B3" s="115"/>
      <c r="S3" s="116"/>
    </row>
    <row r="4" spans="1:30">
      <c r="B4" s="115"/>
      <c r="H4" s="43"/>
      <c r="S4" s="116"/>
    </row>
    <row r="5" spans="1:30">
      <c r="B5" s="115"/>
      <c r="S5" s="116"/>
    </row>
    <row r="6" spans="1:30">
      <c r="B6" s="115"/>
      <c r="S6" s="116"/>
    </row>
    <row r="7" spans="1:30">
      <c r="B7" s="115"/>
      <c r="S7" s="116"/>
    </row>
    <row r="8" spans="1:30" s="176" customFormat="1" ht="60" customHeight="1">
      <c r="A8" s="110"/>
      <c r="B8" s="115"/>
      <c r="C8" s="319" t="str">
        <f>'Page de garde'!C13&amp;" : Détail des prestations réglées - Synthèse par famille d'actes"</f>
        <v xml:space="preserve"> : Détail des prestations réglées - Synthèse par famille d'actes</v>
      </c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1"/>
      <c r="S8" s="116"/>
    </row>
    <row r="9" spans="1:30" ht="11.25" customHeight="1">
      <c r="B9" s="115"/>
      <c r="S9" s="116"/>
    </row>
    <row r="10" spans="1:30" ht="7.5" customHeight="1">
      <c r="B10" s="115"/>
      <c r="S10" s="116"/>
    </row>
    <row r="11" spans="1:30">
      <c r="B11" s="115"/>
      <c r="D11" s="339" t="s">
        <v>188</v>
      </c>
      <c r="E11" s="339"/>
      <c r="F11" s="339"/>
      <c r="G11" s="339"/>
      <c r="H11" s="339"/>
      <c r="I11" s="339"/>
      <c r="J11" s="339"/>
      <c r="K11" s="339"/>
      <c r="L11" s="339"/>
      <c r="M11" s="339"/>
      <c r="N11" s="339"/>
      <c r="O11" s="339"/>
      <c r="P11" s="339"/>
      <c r="Q11" s="339"/>
      <c r="S11" s="116"/>
    </row>
    <row r="12" spans="1:30">
      <c r="B12" s="115"/>
      <c r="S12" s="116"/>
      <c r="AD12" s="163"/>
    </row>
    <row r="13" spans="1:30" s="161" customFormat="1">
      <c r="A13" s="160"/>
      <c r="B13" s="115"/>
      <c r="D13" s="339" t="s">
        <v>189</v>
      </c>
      <c r="E13" s="339"/>
      <c r="F13" s="339"/>
      <c r="G13" s="339"/>
      <c r="H13" s="164"/>
      <c r="O13" s="339" t="s">
        <v>164</v>
      </c>
      <c r="P13" s="339"/>
      <c r="Q13" s="339"/>
      <c r="S13" s="116"/>
    </row>
    <row r="14" spans="1:30">
      <c r="B14" s="115"/>
      <c r="C14" s="110"/>
      <c r="D14" s="110"/>
      <c r="E14" s="165"/>
      <c r="F14" s="165"/>
      <c r="G14" s="165"/>
      <c r="H14" s="165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6"/>
    </row>
    <row r="15" spans="1:30">
      <c r="B15" s="115"/>
      <c r="C15" s="110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6"/>
    </row>
    <row r="16" spans="1:30">
      <c r="B16" s="115"/>
      <c r="C16" s="110"/>
      <c r="D16" s="110"/>
      <c r="E16" s="110"/>
      <c r="F16" s="162"/>
      <c r="G16" s="162"/>
      <c r="H16" s="162"/>
      <c r="I16" s="162"/>
      <c r="J16" s="162"/>
      <c r="K16" s="162"/>
      <c r="L16" s="162"/>
      <c r="M16" s="162"/>
      <c r="N16" s="110"/>
      <c r="O16" s="110"/>
      <c r="P16" s="110"/>
      <c r="Q16" s="110"/>
      <c r="R16" s="110"/>
      <c r="S16" s="116"/>
    </row>
    <row r="17" spans="1:19">
      <c r="B17" s="115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6"/>
    </row>
    <row r="18" spans="1:19">
      <c r="B18" s="115"/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6"/>
    </row>
    <row r="19" spans="1:19">
      <c r="B19" s="115"/>
      <c r="C19" s="110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6"/>
    </row>
    <row r="20" spans="1:19">
      <c r="B20" s="115"/>
      <c r="C20" s="110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6"/>
    </row>
    <row r="21" spans="1:19">
      <c r="B21" s="115"/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6"/>
    </row>
    <row r="22" spans="1:19">
      <c r="B22" s="115"/>
      <c r="C22" s="110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6"/>
    </row>
    <row r="23" spans="1:19">
      <c r="B23" s="115"/>
      <c r="C23" s="110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6"/>
    </row>
    <row r="24" spans="1:19">
      <c r="B24" s="115"/>
      <c r="C24" s="110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6"/>
    </row>
    <row r="25" spans="1:19">
      <c r="B25" s="115"/>
      <c r="C25" s="110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6"/>
    </row>
    <row r="26" spans="1:19">
      <c r="B26" s="115"/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6"/>
    </row>
    <row r="27" spans="1:19">
      <c r="B27" s="115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6"/>
    </row>
    <row r="28" spans="1:19">
      <c r="B28" s="115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6"/>
    </row>
    <row r="29" spans="1:19" s="161" customFormat="1">
      <c r="A29" s="160"/>
      <c r="B29" s="115"/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16"/>
    </row>
    <row r="30" spans="1:19">
      <c r="B30" s="115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6"/>
    </row>
    <row r="31" spans="1:19" s="161" customFormat="1">
      <c r="A31" s="160"/>
      <c r="B31" s="115"/>
      <c r="C31" s="160"/>
      <c r="D31" s="340" t="s">
        <v>190</v>
      </c>
      <c r="E31" s="340"/>
      <c r="F31" s="340"/>
      <c r="G31" s="340"/>
      <c r="H31" s="160"/>
      <c r="I31" s="160"/>
      <c r="L31" s="160"/>
      <c r="M31" s="160"/>
      <c r="O31" s="272" t="s">
        <v>191</v>
      </c>
      <c r="P31" s="166"/>
      <c r="Q31" s="166"/>
      <c r="R31" s="160"/>
      <c r="S31" s="116"/>
    </row>
    <row r="32" spans="1:19" s="270" customFormat="1" ht="24">
      <c r="B32" s="184"/>
      <c r="J32" s="271" t="s">
        <v>192</v>
      </c>
      <c r="K32" s="271" t="s">
        <v>193</v>
      </c>
      <c r="S32" s="185"/>
    </row>
    <row r="33" spans="2:19">
      <c r="B33" s="115"/>
      <c r="H33" s="164"/>
      <c r="K33" s="173"/>
      <c r="S33" s="116"/>
    </row>
    <row r="34" spans="2:19">
      <c r="B34" s="115"/>
      <c r="C34" s="110"/>
      <c r="D34" s="110"/>
      <c r="E34" s="110">
        <v>0</v>
      </c>
      <c r="F34" s="110"/>
      <c r="G34" s="110"/>
      <c r="H34" s="110"/>
      <c r="I34" s="110"/>
      <c r="J34" s="167">
        <v>0.70331329356829375</v>
      </c>
      <c r="K34" s="168">
        <v>0.69905224218897244</v>
      </c>
      <c r="L34" s="110"/>
      <c r="M34" s="110"/>
      <c r="N34" s="110"/>
      <c r="O34" s="110"/>
      <c r="P34" s="110"/>
      <c r="Q34" s="110"/>
      <c r="R34" s="110"/>
      <c r="S34" s="116"/>
    </row>
    <row r="35" spans="2:19">
      <c r="B35" s="115"/>
      <c r="C35" s="110"/>
      <c r="D35" s="110"/>
      <c r="E35" s="110"/>
      <c r="F35" s="110"/>
      <c r="G35" s="110"/>
      <c r="H35" s="110"/>
      <c r="I35" s="110"/>
      <c r="J35" s="167">
        <v>0.72804485688695753</v>
      </c>
      <c r="K35" s="168">
        <v>0.84990346929766614</v>
      </c>
      <c r="L35" s="110"/>
      <c r="M35" s="110"/>
      <c r="N35" s="110"/>
      <c r="O35" s="110"/>
      <c r="P35" s="110"/>
      <c r="Q35" s="110"/>
      <c r="R35" s="110"/>
      <c r="S35" s="116"/>
    </row>
    <row r="36" spans="2:19">
      <c r="B36" s="115"/>
      <c r="C36" s="110"/>
      <c r="D36" s="110"/>
      <c r="E36" s="110"/>
      <c r="F36" s="110"/>
      <c r="G36" s="110"/>
      <c r="H36" s="110"/>
      <c r="I36" s="110"/>
      <c r="J36" s="167">
        <v>0.99823640992289242</v>
      </c>
      <c r="K36" s="168">
        <v>0.99492351539297508</v>
      </c>
      <c r="L36" s="110"/>
      <c r="M36" s="110"/>
      <c r="N36" s="110"/>
      <c r="O36" s="110"/>
      <c r="P36" s="110"/>
      <c r="Q36" s="110"/>
      <c r="R36" s="110"/>
      <c r="S36" s="116"/>
    </row>
    <row r="37" spans="2:19">
      <c r="B37" s="115"/>
      <c r="C37" s="110"/>
      <c r="D37" s="110"/>
      <c r="E37" s="110"/>
      <c r="F37" s="110"/>
      <c r="G37" s="110"/>
      <c r="H37" s="110"/>
      <c r="I37" s="110"/>
      <c r="J37" s="167">
        <v>0.92554405642945947</v>
      </c>
      <c r="K37" s="168">
        <v>0.97698951285039981</v>
      </c>
      <c r="L37" s="110"/>
      <c r="M37" s="110"/>
      <c r="N37" s="110"/>
      <c r="O37" s="110"/>
      <c r="P37" s="110"/>
      <c r="Q37" s="110"/>
      <c r="R37" s="110"/>
      <c r="S37" s="116"/>
    </row>
    <row r="38" spans="2:19">
      <c r="B38" s="115"/>
      <c r="C38" s="110"/>
      <c r="D38" s="110"/>
      <c r="E38" s="110"/>
      <c r="F38" s="110"/>
      <c r="G38" s="110"/>
      <c r="H38" s="110"/>
      <c r="I38" s="110"/>
      <c r="J38" s="167">
        <v>0.81703190532586534</v>
      </c>
      <c r="K38" s="168">
        <v>0.75684265168890719</v>
      </c>
      <c r="L38" s="110"/>
      <c r="M38" s="110"/>
      <c r="N38" s="110"/>
      <c r="O38" s="110"/>
      <c r="P38" s="110"/>
      <c r="Q38" s="110"/>
      <c r="R38" s="110"/>
      <c r="S38" s="116"/>
    </row>
    <row r="39" spans="2:19">
      <c r="B39" s="115"/>
      <c r="C39" s="110"/>
      <c r="D39" s="110"/>
      <c r="E39" s="110"/>
      <c r="F39" s="110"/>
      <c r="G39" s="110"/>
      <c r="H39" s="110"/>
      <c r="I39" s="110"/>
      <c r="J39" s="167"/>
      <c r="K39" s="168"/>
      <c r="L39" s="110"/>
      <c r="M39" s="110"/>
      <c r="N39" s="110"/>
      <c r="O39" s="110"/>
      <c r="P39" s="110"/>
      <c r="Q39" s="110"/>
      <c r="R39" s="110"/>
      <c r="S39" s="116"/>
    </row>
    <row r="40" spans="2:19">
      <c r="B40" s="115"/>
      <c r="C40" s="110"/>
      <c r="D40" s="110"/>
      <c r="E40" s="110"/>
      <c r="F40" s="110"/>
      <c r="G40" s="110"/>
      <c r="H40" s="110"/>
      <c r="I40" s="110"/>
      <c r="J40" s="167">
        <v>0.92754424323889062</v>
      </c>
      <c r="K40" s="168">
        <v>0.97763698952284483</v>
      </c>
      <c r="L40" s="110"/>
      <c r="M40" s="110"/>
      <c r="N40" s="110"/>
      <c r="O40" s="110"/>
      <c r="P40" s="110"/>
      <c r="Q40" s="110"/>
      <c r="R40" s="110"/>
      <c r="S40" s="116"/>
    </row>
    <row r="41" spans="2:19">
      <c r="B41" s="115"/>
      <c r="C41" s="110"/>
      <c r="D41" s="110"/>
      <c r="E41" s="110"/>
      <c r="F41" s="110"/>
      <c r="G41" s="110"/>
      <c r="H41" s="110"/>
      <c r="I41" s="110"/>
      <c r="J41" s="167"/>
      <c r="K41" s="168"/>
      <c r="L41" s="110"/>
      <c r="M41" s="110"/>
      <c r="N41" s="110"/>
      <c r="O41" s="110"/>
      <c r="P41" s="110"/>
      <c r="Q41" s="110"/>
      <c r="R41" s="110"/>
      <c r="S41" s="116"/>
    </row>
    <row r="42" spans="2:19">
      <c r="B42" s="115"/>
      <c r="C42" s="110"/>
      <c r="D42" s="110"/>
      <c r="E42" s="110"/>
      <c r="F42" s="110"/>
      <c r="G42" s="110"/>
      <c r="H42" s="110"/>
      <c r="I42" s="110"/>
      <c r="J42" s="167"/>
      <c r="K42" s="168"/>
      <c r="L42" s="110"/>
      <c r="M42" s="110"/>
      <c r="N42" s="110"/>
      <c r="O42" s="110"/>
      <c r="P42" s="110"/>
      <c r="Q42" s="110"/>
      <c r="R42" s="110"/>
      <c r="S42" s="116"/>
    </row>
    <row r="43" spans="2:19">
      <c r="B43" s="115"/>
      <c r="C43" s="110"/>
      <c r="D43" s="110"/>
      <c r="E43" s="110"/>
      <c r="F43" s="110"/>
      <c r="G43" s="110"/>
      <c r="H43" s="110"/>
      <c r="I43" s="110"/>
      <c r="J43" s="167"/>
      <c r="K43" s="168"/>
      <c r="L43" s="110"/>
      <c r="M43" s="110"/>
      <c r="N43" s="110"/>
      <c r="O43" s="110"/>
      <c r="P43" s="110"/>
      <c r="Q43" s="110"/>
      <c r="R43" s="110"/>
      <c r="S43" s="116"/>
    </row>
    <row r="44" spans="2:19">
      <c r="B44" s="115"/>
      <c r="C44" s="110"/>
      <c r="D44" s="110"/>
      <c r="E44" s="110"/>
      <c r="F44" s="110"/>
      <c r="G44" s="110"/>
      <c r="H44" s="110"/>
      <c r="I44" s="110"/>
      <c r="J44" s="167"/>
      <c r="K44" s="168"/>
      <c r="L44" s="110"/>
      <c r="M44" s="110"/>
      <c r="N44" s="110"/>
      <c r="O44" s="110"/>
      <c r="P44" s="110"/>
      <c r="Q44" s="110"/>
      <c r="R44" s="110"/>
      <c r="S44" s="116"/>
    </row>
    <row r="45" spans="2:19">
      <c r="B45" s="115"/>
      <c r="C45" s="110"/>
      <c r="D45" s="110"/>
      <c r="E45" s="110"/>
      <c r="F45" s="110"/>
      <c r="G45" s="110"/>
      <c r="H45" s="110"/>
      <c r="I45" s="110"/>
      <c r="J45" s="167"/>
      <c r="K45" s="168"/>
      <c r="L45" s="110"/>
      <c r="M45" s="110"/>
      <c r="N45" s="110"/>
      <c r="O45" s="110"/>
      <c r="P45" s="110"/>
      <c r="Q45" s="110"/>
      <c r="R45" s="110"/>
      <c r="S45" s="116"/>
    </row>
    <row r="46" spans="2:19">
      <c r="B46" s="115"/>
      <c r="C46" s="110"/>
      <c r="D46" s="110"/>
      <c r="E46" s="110"/>
      <c r="F46" s="110"/>
      <c r="G46" s="110"/>
      <c r="H46" s="110"/>
      <c r="I46" s="110"/>
      <c r="J46" s="167"/>
      <c r="K46" s="168"/>
      <c r="L46" s="110"/>
      <c r="M46" s="110"/>
      <c r="N46" s="110"/>
      <c r="O46" s="110"/>
      <c r="P46" s="110"/>
      <c r="Q46" s="110"/>
      <c r="R46" s="110"/>
      <c r="S46" s="116"/>
    </row>
    <row r="47" spans="2:19">
      <c r="B47" s="115"/>
      <c r="C47" s="110"/>
      <c r="D47" s="110"/>
      <c r="E47" s="110"/>
      <c r="F47" s="110"/>
      <c r="G47" s="110"/>
      <c r="H47" s="110"/>
      <c r="I47" s="110"/>
      <c r="J47" s="167"/>
      <c r="K47" s="168"/>
      <c r="L47" s="110"/>
      <c r="M47" s="110"/>
      <c r="N47" s="110"/>
      <c r="O47" s="110"/>
      <c r="P47" s="110"/>
      <c r="Q47" s="110"/>
      <c r="R47" s="110"/>
      <c r="S47" s="116"/>
    </row>
    <row r="48" spans="2:19">
      <c r="B48" s="115"/>
      <c r="C48" s="110"/>
      <c r="D48" s="110"/>
      <c r="E48" s="110"/>
      <c r="F48" s="110"/>
      <c r="G48" s="110"/>
      <c r="H48" s="110"/>
      <c r="I48" s="110"/>
      <c r="J48" s="167"/>
      <c r="K48" s="168"/>
      <c r="L48" s="110"/>
      <c r="M48" s="110"/>
      <c r="N48" s="110"/>
      <c r="O48" s="110"/>
      <c r="P48" s="110"/>
      <c r="Q48" s="110"/>
      <c r="R48" s="110"/>
      <c r="S48" s="116"/>
    </row>
    <row r="49" spans="2:19">
      <c r="B49" s="115"/>
      <c r="C49" s="110"/>
      <c r="D49" s="110"/>
      <c r="E49" s="110"/>
      <c r="F49" s="110"/>
      <c r="G49" s="110"/>
      <c r="H49" s="110"/>
      <c r="I49" s="110"/>
      <c r="J49" s="174"/>
      <c r="K49" s="172"/>
      <c r="L49" s="110"/>
      <c r="M49" s="110"/>
      <c r="N49" s="110"/>
      <c r="O49" s="110"/>
      <c r="P49" s="110"/>
      <c r="Q49" s="110"/>
      <c r="R49" s="110"/>
      <c r="S49" s="116"/>
    </row>
    <row r="50" spans="2:19">
      <c r="B50" s="115"/>
      <c r="J50" s="173"/>
      <c r="K50" s="173"/>
      <c r="S50" s="116"/>
    </row>
    <row r="51" spans="2:19">
      <c r="B51" s="141"/>
      <c r="C51" s="142"/>
      <c r="D51" s="142"/>
      <c r="E51" s="142"/>
      <c r="F51" s="142"/>
      <c r="G51" s="142"/>
      <c r="H51" s="142"/>
      <c r="I51" s="142"/>
      <c r="J51" s="175"/>
      <c r="K51" s="177"/>
      <c r="L51" s="142"/>
      <c r="M51" s="142"/>
      <c r="N51" s="142"/>
      <c r="O51" s="142"/>
      <c r="P51" s="142"/>
      <c r="Q51" s="142"/>
      <c r="R51" s="142"/>
      <c r="S51" s="143"/>
    </row>
    <row r="66" spans="6:14">
      <c r="F66" s="62" t="s">
        <v>189</v>
      </c>
      <c r="G66" s="62" t="s">
        <v>194</v>
      </c>
      <c r="H66" s="62" t="s">
        <v>179</v>
      </c>
      <c r="I66" s="62" t="s">
        <v>177</v>
      </c>
      <c r="J66" s="62" t="s">
        <v>195</v>
      </c>
      <c r="K66" s="62" t="s">
        <v>179</v>
      </c>
      <c r="L66" s="62" t="s">
        <v>196</v>
      </c>
      <c r="M66" s="62" t="s">
        <v>189</v>
      </c>
      <c r="N66" s="62" t="s">
        <v>194</v>
      </c>
    </row>
    <row r="67" spans="6:14">
      <c r="M67" s="86">
        <v>53.837776856076317</v>
      </c>
      <c r="N67" s="86">
        <v>42.267954853572796</v>
      </c>
    </row>
    <row r="68" spans="6:14">
      <c r="M68" s="86">
        <v>121.10044585987259</v>
      </c>
      <c r="N68" s="86">
        <v>380.42421401515168</v>
      </c>
    </row>
    <row r="69" spans="6:14">
      <c r="M69" s="86">
        <v>95.139473684210529</v>
      </c>
      <c r="N69" s="86">
        <v>14.040101230647082</v>
      </c>
    </row>
    <row r="70" spans="6:14">
      <c r="M70" s="86">
        <v>7.944137306881049</v>
      </c>
      <c r="N70" s="86">
        <v>6.8934911286505098</v>
      </c>
    </row>
    <row r="71" spans="6:14">
      <c r="M71" s="86">
        <v>1.6660813872209574</v>
      </c>
      <c r="N71" s="86">
        <v>1.6501951405660062</v>
      </c>
    </row>
    <row r="72" spans="6:14">
      <c r="M72" s="86">
        <v>64.717581188997386</v>
      </c>
      <c r="N72" s="86">
        <v>54.838988467392973</v>
      </c>
    </row>
    <row r="73" spans="6:14">
      <c r="M73" s="86">
        <v>174.48095303237574</v>
      </c>
      <c r="N73" s="86">
        <v>106.76541114325191</v>
      </c>
    </row>
  </sheetData>
  <mergeCells count="5">
    <mergeCell ref="D11:Q11"/>
    <mergeCell ref="D13:G13"/>
    <mergeCell ref="O13:Q13"/>
    <mergeCell ref="D31:G31"/>
    <mergeCell ref="C8:R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4" tint="0.79998168889431442"/>
  </sheetPr>
  <dimension ref="A1:T51"/>
  <sheetViews>
    <sheetView showGridLines="0" zoomScaleNormal="100" workbookViewId="0">
      <selection activeCell="I11" sqref="I11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9" width="11.42578125" style="4" customWidth="1"/>
    <col min="10" max="10" width="21.42578125" style="4" customWidth="1"/>
    <col min="11" max="16" width="11.42578125" style="4" customWidth="1"/>
    <col min="17" max="17" width="12.85546875" style="4" customWidth="1"/>
    <col min="18" max="18" width="16.85546875" style="4" customWidth="1"/>
    <col min="19" max="19" width="4.28515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10"/>
      <c r="T1" s="9"/>
    </row>
    <row r="2" spans="1:20">
      <c r="B2" s="91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3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94"/>
    </row>
    <row r="4" spans="1:20">
      <c r="A4" s="9"/>
      <c r="B4" s="5"/>
      <c r="C4" s="6"/>
      <c r="D4" s="6"/>
      <c r="E4" s="6"/>
      <c r="F4" s="43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94"/>
    </row>
    <row r="5" spans="1:20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94"/>
    </row>
    <row r="6" spans="1:20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94"/>
    </row>
    <row r="7" spans="1:20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94"/>
    </row>
    <row r="8" spans="1:20" s="180" customFormat="1" ht="61.5" customHeight="1">
      <c r="B8" s="184"/>
      <c r="C8" s="319" t="str">
        <f>'Page de garde'!C13&amp;" : Analyse de la dépense médicale"</f>
        <v xml:space="preserve"> : Analyse de la dépense médicale</v>
      </c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1"/>
      <c r="S8" s="185"/>
    </row>
    <row r="9" spans="1:20" hidden="1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94"/>
    </row>
    <row r="10" spans="1:20">
      <c r="A10" s="9"/>
      <c r="B10" s="5"/>
      <c r="C10" s="6"/>
      <c r="D10" s="6"/>
      <c r="E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94"/>
    </row>
    <row r="11" spans="1:20" ht="26.25">
      <c r="A11" s="9"/>
      <c r="B11" s="5"/>
      <c r="C11" s="6"/>
      <c r="D11" s="6"/>
      <c r="E11" s="6"/>
      <c r="F11" s="6"/>
      <c r="G11" s="6"/>
      <c r="I11" s="273" t="s">
        <v>104</v>
      </c>
      <c r="K11" s="51"/>
      <c r="L11" s="6"/>
      <c r="M11" s="6"/>
      <c r="N11" s="6"/>
      <c r="O11" s="6"/>
      <c r="P11" s="6"/>
      <c r="Q11" s="6"/>
      <c r="R11" s="6"/>
      <c r="S11" s="94"/>
    </row>
    <row r="12" spans="1:20" hidden="1">
      <c r="A12" s="9"/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94"/>
    </row>
    <row r="13" spans="1:20" ht="14.25" customHeight="1">
      <c r="A13" s="9"/>
      <c r="B13" s="5"/>
      <c r="C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94"/>
    </row>
    <row r="14" spans="1:20" ht="15.75" customHeight="1">
      <c r="A14" s="9"/>
      <c r="B14" s="5"/>
      <c r="C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94"/>
    </row>
    <row r="15" spans="1:20">
      <c r="A15" s="9"/>
      <c r="B15" s="5"/>
      <c r="C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94"/>
    </row>
    <row r="16" spans="1:20">
      <c r="A16" s="9"/>
      <c r="B16" s="5"/>
      <c r="C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94"/>
    </row>
    <row r="17" spans="1:19">
      <c r="A17" s="9"/>
      <c r="B17" s="5"/>
      <c r="C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94"/>
    </row>
    <row r="18" spans="1:19">
      <c r="A18" s="9"/>
      <c r="B18" s="5"/>
      <c r="C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94"/>
    </row>
    <row r="19" spans="1:19">
      <c r="A19" s="9"/>
      <c r="B19" s="5"/>
      <c r="C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94"/>
    </row>
    <row r="20" spans="1:19">
      <c r="A20" s="9"/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94"/>
    </row>
    <row r="21" spans="1:19">
      <c r="A21" s="9"/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94"/>
    </row>
    <row r="22" spans="1:19">
      <c r="A22" s="9"/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94"/>
    </row>
    <row r="23" spans="1:19">
      <c r="A23" s="9"/>
      <c r="B23" s="5"/>
      <c r="C23" s="6"/>
      <c r="D23" s="6"/>
      <c r="E23" s="6"/>
      <c r="F23" s="6"/>
      <c r="G23" s="6"/>
      <c r="H23" s="6"/>
      <c r="I23" s="6"/>
      <c r="J23" s="6"/>
      <c r="K23" s="6"/>
      <c r="L23" s="6" t="s">
        <v>157</v>
      </c>
      <c r="M23" s="6"/>
      <c r="N23" s="6"/>
      <c r="O23" s="6"/>
      <c r="P23" s="6"/>
      <c r="Q23" s="6"/>
      <c r="R23" s="6"/>
      <c r="S23" s="94"/>
    </row>
    <row r="24" spans="1:19">
      <c r="A24" s="9"/>
      <c r="B24" s="5"/>
      <c r="C24" s="6"/>
      <c r="D24" s="6"/>
      <c r="E24" s="6"/>
      <c r="F24" s="6"/>
      <c r="G24" s="6"/>
      <c r="H24" s="6"/>
      <c r="I24" s="6" t="s">
        <v>182</v>
      </c>
      <c r="J24" s="6"/>
      <c r="K24" s="50">
        <f>VLOOKUP($I$11,'DATA QUARTILE'!$A:$H,2,FALSE)</f>
        <v>0</v>
      </c>
      <c r="L24" s="50">
        <f>ROUND(VLOOKUP($I$11,'DATA QUARTILE'!$A:$H,8,FALSE),0)</f>
        <v>0</v>
      </c>
      <c r="M24" s="6"/>
      <c r="N24" s="6"/>
      <c r="O24" s="6"/>
      <c r="P24" s="6"/>
      <c r="Q24" s="6"/>
      <c r="R24" s="6"/>
      <c r="S24" s="94"/>
    </row>
    <row r="25" spans="1:19">
      <c r="A25" s="9"/>
      <c r="B25" s="5"/>
      <c r="C25" s="6"/>
      <c r="D25" s="6"/>
      <c r="E25" s="6"/>
      <c r="F25" s="6"/>
      <c r="G25" s="6"/>
      <c r="H25" s="6"/>
      <c r="I25" s="6"/>
      <c r="J25" s="6" t="s">
        <v>183</v>
      </c>
      <c r="K25" s="50">
        <f>VLOOKUP($I$11,'DATA QUARTILE'!$A:$H,4,FALSE)</f>
        <v>0</v>
      </c>
      <c r="L25" s="50">
        <f>L24</f>
        <v>0</v>
      </c>
      <c r="M25" s="6"/>
      <c r="N25" s="6"/>
      <c r="O25" s="6"/>
      <c r="P25" s="6"/>
      <c r="Q25" s="6"/>
      <c r="R25" s="6"/>
      <c r="S25" s="94"/>
    </row>
    <row r="26" spans="1:19">
      <c r="A26" s="9"/>
      <c r="B26" s="5"/>
      <c r="C26" s="6"/>
      <c r="D26" s="6"/>
      <c r="E26" s="6"/>
      <c r="F26" s="6"/>
      <c r="G26" s="6"/>
      <c r="H26" s="6"/>
      <c r="I26" s="6"/>
      <c r="J26" s="6" t="s">
        <v>184</v>
      </c>
      <c r="K26" s="50">
        <f>VLOOKUP($I$11,'DATA QUARTILE'!$A:$H,5,FALSE)</f>
        <v>0</v>
      </c>
      <c r="L26" s="50">
        <f>L25</f>
        <v>0</v>
      </c>
      <c r="M26" s="6"/>
      <c r="N26" s="6"/>
      <c r="O26" s="6"/>
      <c r="P26" s="6"/>
      <c r="Q26" s="6"/>
      <c r="R26" s="6"/>
      <c r="S26" s="94"/>
    </row>
    <row r="27" spans="1:19">
      <c r="A27" s="9"/>
      <c r="B27" s="5"/>
      <c r="C27" s="6"/>
      <c r="D27" s="6"/>
      <c r="E27" s="6"/>
      <c r="F27" s="6"/>
      <c r="G27" s="6"/>
      <c r="H27" s="6"/>
      <c r="I27" s="6"/>
      <c r="J27" s="6" t="s">
        <v>185</v>
      </c>
      <c r="K27" s="50">
        <f>VLOOKUP($I$11,'DATA QUARTILE'!$A:$H,6,FALSE)</f>
        <v>0</v>
      </c>
      <c r="L27" s="50">
        <f>L26</f>
        <v>0</v>
      </c>
      <c r="M27" s="6"/>
      <c r="N27" s="6"/>
      <c r="O27" s="6"/>
      <c r="P27" s="6"/>
      <c r="Q27" s="6"/>
      <c r="R27" s="6"/>
      <c r="S27" s="94"/>
    </row>
    <row r="28" spans="1:19">
      <c r="A28" s="9"/>
      <c r="B28" s="5"/>
      <c r="C28" s="6"/>
      <c r="D28" s="6"/>
      <c r="E28" s="6"/>
      <c r="F28" s="6"/>
      <c r="G28" s="6"/>
      <c r="H28" s="6"/>
      <c r="I28" s="6"/>
      <c r="J28" s="6" t="s">
        <v>186</v>
      </c>
      <c r="K28" s="50">
        <f>VLOOKUP($I$11,'DATA QUARTILE'!$A:$H,7,FALSE)</f>
        <v>0</v>
      </c>
      <c r="L28" s="50">
        <f>L27</f>
        <v>0</v>
      </c>
      <c r="M28" s="6"/>
      <c r="N28" s="6"/>
      <c r="O28" s="6"/>
      <c r="P28" s="6"/>
      <c r="Q28" s="6"/>
      <c r="R28" s="6"/>
      <c r="S28" s="94"/>
    </row>
    <row r="29" spans="1:19">
      <c r="A29" s="9"/>
      <c r="B29" s="5"/>
      <c r="C29" s="6"/>
      <c r="D29" s="6"/>
      <c r="E29" s="6"/>
      <c r="F29" s="6"/>
      <c r="G29" s="6"/>
      <c r="H29" s="6"/>
      <c r="I29" s="6" t="s">
        <v>187</v>
      </c>
      <c r="J29" s="6"/>
      <c r="K29" s="50">
        <f>VLOOKUP($I$11,'DATA QUARTILE'!$A:$H,3,FALSE)</f>
        <v>0</v>
      </c>
      <c r="L29" s="50">
        <f>L28</f>
        <v>0</v>
      </c>
      <c r="M29" s="6"/>
      <c r="N29" s="6"/>
      <c r="O29" s="6"/>
      <c r="P29" s="6"/>
      <c r="Q29" s="6"/>
      <c r="R29" s="6"/>
      <c r="S29" s="94"/>
    </row>
    <row r="30" spans="1:19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94"/>
    </row>
    <row r="31" spans="1:19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94"/>
    </row>
    <row r="32" spans="1:19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94"/>
    </row>
    <row r="33" spans="1:19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94"/>
    </row>
    <row r="34" spans="1:19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94"/>
    </row>
    <row r="35" spans="1:19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94"/>
    </row>
    <row r="36" spans="1:19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94"/>
    </row>
    <row r="37" spans="1:19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94"/>
    </row>
    <row r="38" spans="1:19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94"/>
    </row>
    <row r="39" spans="1:19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94"/>
    </row>
    <row r="40" spans="1:19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94"/>
    </row>
    <row r="41" spans="1:19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94"/>
    </row>
    <row r="42" spans="1:19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94"/>
    </row>
    <row r="43" spans="1:19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94"/>
    </row>
    <row r="44" spans="1:19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94"/>
    </row>
    <row r="45" spans="1:19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94"/>
    </row>
    <row r="46" spans="1:19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94"/>
    </row>
    <row r="47" spans="1:19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94"/>
    </row>
    <row r="48" spans="1:19" ht="18" customHeight="1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94"/>
    </row>
    <row r="49" spans="1:19">
      <c r="A49" s="9"/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94"/>
    </row>
    <row r="50" spans="1:19" ht="11.25" customHeight="1">
      <c r="A50" s="9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95"/>
    </row>
    <row r="51" spans="1:19">
      <c r="A51" s="9"/>
    </row>
  </sheetData>
  <mergeCells count="1">
    <mergeCell ref="C8:R8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4" tint="0.79998168889431442"/>
  </sheetPr>
  <dimension ref="A1:T48"/>
  <sheetViews>
    <sheetView showGridLines="0" topLeftCell="C1" zoomScaleNormal="100" workbookViewId="0">
      <selection activeCell="A14" sqref="A14:XFD14"/>
    </sheetView>
  </sheetViews>
  <sheetFormatPr defaultColWidth="11.42578125" defaultRowHeight="15"/>
  <cols>
    <col min="1" max="1" width="2.85546875" style="10" customWidth="1"/>
    <col min="2" max="2" width="4.42578125" style="4" customWidth="1"/>
    <col min="3" max="4" width="22.85546875" style="4" customWidth="1"/>
    <col min="5" max="5" width="12.85546875" style="4" customWidth="1"/>
    <col min="6" max="6" width="14.28515625" style="4" customWidth="1"/>
    <col min="7" max="12" width="15.7109375" style="4" customWidth="1"/>
    <col min="13" max="13" width="1.42578125" style="4" customWidth="1"/>
    <col min="14" max="15" width="15.7109375" style="4" customWidth="1"/>
    <col min="16" max="16" width="4.28515625" style="4" customWidth="1"/>
    <col min="17" max="17" width="2.85546875" style="4" customWidth="1"/>
    <col min="18" max="19" width="11.42578125" style="4" customWidth="1"/>
    <col min="20" max="16384" width="11.42578125" style="4"/>
  </cols>
  <sheetData>
    <row r="1" spans="1:20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10"/>
      <c r="Q1" s="9"/>
    </row>
    <row r="2" spans="1:20">
      <c r="B2" s="91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3"/>
      <c r="T2" s="58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94"/>
    </row>
    <row r="4" spans="1:20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94"/>
    </row>
    <row r="5" spans="1:20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94"/>
    </row>
    <row r="6" spans="1:20" ht="15.75" thickBot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94"/>
    </row>
    <row r="7" spans="1:20" hidden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94"/>
    </row>
    <row r="8" spans="1:20" s="180" customFormat="1" ht="61.5" customHeight="1" thickBot="1">
      <c r="B8" s="184"/>
      <c r="C8" s="319" t="str">
        <f>'Page de garde'!C13&amp;" : Détail des prestations réglées - Focus optique"</f>
        <v xml:space="preserve"> : Détail des prestations réglées - Focus optique</v>
      </c>
      <c r="D8" s="343"/>
      <c r="E8" s="343"/>
      <c r="F8" s="343"/>
      <c r="G8" s="343"/>
      <c r="H8" s="343"/>
      <c r="I8" s="343"/>
      <c r="J8" s="343"/>
      <c r="K8" s="343"/>
      <c r="L8" s="343"/>
      <c r="M8" s="343"/>
      <c r="N8" s="343"/>
      <c r="O8" s="344"/>
      <c r="P8" s="185"/>
    </row>
    <row r="9" spans="1:20" ht="15.75" thickBot="1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94"/>
    </row>
    <row r="10" spans="1:20" ht="15" customHeight="1">
      <c r="A10" s="9"/>
      <c r="B10" s="5"/>
      <c r="C10" s="41"/>
      <c r="D10" s="41"/>
      <c r="E10" s="336" t="s">
        <v>163</v>
      </c>
      <c r="F10" s="337"/>
      <c r="G10" s="337"/>
      <c r="H10" s="337"/>
      <c r="I10" s="337"/>
      <c r="J10" s="337"/>
      <c r="K10" s="337"/>
      <c r="L10" s="338"/>
      <c r="M10" s="41"/>
      <c r="N10" s="336" t="s">
        <v>164</v>
      </c>
      <c r="O10" s="338"/>
      <c r="P10" s="94"/>
    </row>
    <row r="11" spans="1:20" ht="12.75" customHeight="1">
      <c r="A11" s="9"/>
      <c r="B11" s="5"/>
      <c r="C11" s="41"/>
      <c r="D11" s="41"/>
      <c r="E11" s="41"/>
      <c r="F11" s="41"/>
      <c r="G11" s="41"/>
      <c r="H11" s="41"/>
      <c r="I11" s="41"/>
      <c r="J11" s="41"/>
      <c r="K11" s="41"/>
      <c r="L11" s="44"/>
      <c r="M11" s="45"/>
      <c r="N11" s="41"/>
      <c r="O11" s="41"/>
      <c r="P11" s="94"/>
    </row>
    <row r="12" spans="1:20" ht="38.25">
      <c r="A12" s="9"/>
      <c r="B12" s="5"/>
      <c r="C12" s="41"/>
      <c r="D12" s="41"/>
      <c r="E12" s="244" t="s">
        <v>165</v>
      </c>
      <c r="F12" s="274" t="s">
        <v>175</v>
      </c>
      <c r="G12" s="275" t="s">
        <v>176</v>
      </c>
      <c r="H12" s="276" t="s">
        <v>177</v>
      </c>
      <c r="I12" s="277" t="s">
        <v>178</v>
      </c>
      <c r="J12" s="277" t="s">
        <v>179</v>
      </c>
      <c r="K12" s="278" t="s">
        <v>180</v>
      </c>
      <c r="L12" s="248" t="s">
        <v>181</v>
      </c>
      <c r="M12" s="41"/>
      <c r="N12" s="246" t="s">
        <v>180</v>
      </c>
      <c r="O12" s="248" t="s">
        <v>181</v>
      </c>
      <c r="P12" s="94"/>
    </row>
    <row r="13" spans="1:20" ht="15" customHeight="1" thickBot="1">
      <c r="A13" s="9"/>
      <c r="B13" s="5"/>
      <c r="C13" s="55"/>
      <c r="D13" s="56"/>
      <c r="E13" s="145"/>
      <c r="F13" s="146"/>
      <c r="G13" s="147"/>
      <c r="H13" s="146"/>
      <c r="I13" s="146"/>
      <c r="J13" s="146"/>
      <c r="K13" s="147"/>
      <c r="L13" s="147"/>
      <c r="M13" s="148"/>
      <c r="N13" s="149"/>
      <c r="O13" s="150"/>
      <c r="P13" s="94"/>
    </row>
    <row r="14" spans="1:20" s="86" customFormat="1" ht="15.75" thickBot="1">
      <c r="A14" s="110"/>
      <c r="B14" s="115"/>
      <c r="C14" s="341" t="s">
        <v>3</v>
      </c>
      <c r="D14" s="342"/>
      <c r="E14" s="279"/>
      <c r="F14" s="280"/>
      <c r="G14" s="281"/>
      <c r="H14" s="280"/>
      <c r="I14" s="280"/>
      <c r="J14" s="280"/>
      <c r="K14" s="281"/>
      <c r="L14" s="281"/>
      <c r="M14" s="151"/>
      <c r="N14" s="281"/>
      <c r="O14" s="282"/>
      <c r="P14" s="116"/>
    </row>
    <row r="15" spans="1:20">
      <c r="A15" s="9"/>
      <c r="B15" s="5"/>
      <c r="C15" s="90"/>
      <c r="D15" s="90"/>
      <c r="E15" s="47"/>
      <c r="F15" s="49"/>
      <c r="G15" s="48"/>
      <c r="H15" s="49"/>
      <c r="I15" s="49"/>
      <c r="J15" s="49"/>
      <c r="K15" s="48"/>
      <c r="L15" s="48"/>
      <c r="M15" s="52"/>
      <c r="N15" s="48"/>
      <c r="O15" s="48"/>
      <c r="P15" s="94"/>
    </row>
    <row r="16" spans="1:20" s="86" customFormat="1" ht="14.25" customHeight="1">
      <c r="A16" s="110"/>
      <c r="B16" s="115"/>
      <c r="C16" s="90"/>
      <c r="D16" s="90"/>
      <c r="E16" s="47"/>
      <c r="F16" s="49"/>
      <c r="G16" s="48"/>
      <c r="H16" s="49"/>
      <c r="I16" s="49"/>
      <c r="J16" s="49"/>
      <c r="K16" s="48"/>
      <c r="L16" s="48"/>
      <c r="M16" s="52"/>
      <c r="N16" s="48"/>
      <c r="O16" s="48"/>
      <c r="P16" s="116"/>
    </row>
    <row r="17" spans="1:16" s="86" customFormat="1">
      <c r="A17" s="110"/>
      <c r="B17" s="115"/>
      <c r="C17" s="90"/>
      <c r="D17" s="90"/>
      <c r="E17" s="47"/>
      <c r="F17" s="49"/>
      <c r="G17" s="48"/>
      <c r="H17" s="49"/>
      <c r="I17" s="49"/>
      <c r="J17" s="49"/>
      <c r="K17" s="48"/>
      <c r="L17" s="48"/>
      <c r="M17" s="52"/>
      <c r="N17" s="48"/>
      <c r="O17" s="48"/>
      <c r="P17" s="116"/>
    </row>
    <row r="18" spans="1:16" s="86" customFormat="1">
      <c r="A18" s="110"/>
      <c r="B18" s="115"/>
      <c r="C18" s="90"/>
      <c r="D18" s="90"/>
      <c r="E18" s="47"/>
      <c r="F18" s="49"/>
      <c r="G18" s="48"/>
      <c r="H18" s="49"/>
      <c r="I18" s="49"/>
      <c r="J18" s="49"/>
      <c r="K18" s="48"/>
      <c r="L18" s="48"/>
      <c r="M18" s="52"/>
      <c r="N18" s="48"/>
      <c r="O18" s="48"/>
      <c r="P18" s="116"/>
    </row>
    <row r="19" spans="1:16" s="86" customFormat="1">
      <c r="A19" s="110"/>
      <c r="B19" s="115"/>
      <c r="C19" s="90"/>
      <c r="D19" s="90"/>
      <c r="E19" s="47"/>
      <c r="F19" s="49"/>
      <c r="G19" s="48"/>
      <c r="H19" s="49"/>
      <c r="I19" s="49"/>
      <c r="J19" s="49"/>
      <c r="K19" s="48"/>
      <c r="L19" s="48"/>
      <c r="M19" s="52"/>
      <c r="N19" s="48"/>
      <c r="O19" s="48"/>
      <c r="P19" s="116"/>
    </row>
    <row r="20" spans="1:16" s="86" customFormat="1">
      <c r="A20" s="110"/>
      <c r="B20" s="115"/>
      <c r="C20" s="90"/>
      <c r="D20" s="90"/>
      <c r="E20" s="47"/>
      <c r="F20" s="49"/>
      <c r="G20" s="48"/>
      <c r="H20" s="49"/>
      <c r="I20" s="49"/>
      <c r="J20" s="49"/>
      <c r="K20" s="48"/>
      <c r="L20" s="48"/>
      <c r="M20" s="52"/>
      <c r="N20" s="48"/>
      <c r="O20" s="48"/>
      <c r="P20" s="116"/>
    </row>
    <row r="21" spans="1:16" s="86" customFormat="1">
      <c r="A21" s="110"/>
      <c r="B21" s="115"/>
      <c r="C21" s="90"/>
      <c r="D21" s="90"/>
      <c r="E21" s="47"/>
      <c r="F21" s="49"/>
      <c r="G21" s="48"/>
      <c r="H21" s="49"/>
      <c r="I21" s="49"/>
      <c r="J21" s="49"/>
      <c r="K21" s="48"/>
      <c r="L21" s="48"/>
      <c r="M21" s="52"/>
      <c r="N21" s="48"/>
      <c r="O21" s="48"/>
      <c r="P21" s="116"/>
    </row>
    <row r="22" spans="1:16" s="86" customFormat="1">
      <c r="A22" s="110"/>
      <c r="B22" s="115"/>
      <c r="C22" s="90"/>
      <c r="D22" s="90"/>
      <c r="E22" s="47"/>
      <c r="F22" s="49"/>
      <c r="G22" s="48"/>
      <c r="H22" s="49"/>
      <c r="I22" s="49"/>
      <c r="J22" s="49"/>
      <c r="K22" s="48"/>
      <c r="L22" s="48"/>
      <c r="M22" s="52"/>
      <c r="N22" s="48"/>
      <c r="O22" s="48"/>
      <c r="P22" s="116"/>
    </row>
    <row r="23" spans="1:16">
      <c r="A23" s="9"/>
      <c r="B23" s="5"/>
      <c r="C23" s="90"/>
      <c r="D23" s="90"/>
      <c r="E23" s="47"/>
      <c r="F23" s="49"/>
      <c r="G23" s="48"/>
      <c r="H23" s="49"/>
      <c r="I23" s="49"/>
      <c r="J23" s="49"/>
      <c r="K23" s="48"/>
      <c r="L23" s="48"/>
      <c r="M23" s="52"/>
      <c r="N23" s="48"/>
      <c r="O23" s="48"/>
      <c r="P23" s="94"/>
    </row>
    <row r="24" spans="1:16">
      <c r="A24" s="9"/>
      <c r="B24" s="5"/>
      <c r="C24" s="90"/>
      <c r="D24" s="90"/>
      <c r="E24" s="47"/>
      <c r="F24" s="49"/>
      <c r="G24" s="48"/>
      <c r="H24" s="49"/>
      <c r="I24" s="49"/>
      <c r="J24" s="49"/>
      <c r="K24" s="48"/>
      <c r="L24" s="48"/>
      <c r="M24" s="52"/>
      <c r="N24" s="48"/>
      <c r="O24" s="48"/>
      <c r="P24" s="94"/>
    </row>
    <row r="25" spans="1:16">
      <c r="A25" s="9"/>
      <c r="B25" s="5"/>
      <c r="C25" s="90"/>
      <c r="D25" s="90"/>
      <c r="E25" s="47"/>
      <c r="F25" s="49"/>
      <c r="G25" s="48"/>
      <c r="H25" s="49"/>
      <c r="I25" s="49"/>
      <c r="J25" s="49"/>
      <c r="K25" s="48"/>
      <c r="L25" s="48"/>
      <c r="M25" s="52"/>
      <c r="N25" s="48"/>
      <c r="O25" s="48"/>
      <c r="P25" s="94"/>
    </row>
    <row r="26" spans="1:16">
      <c r="A26" s="9"/>
      <c r="B26" s="5"/>
      <c r="C26" s="90"/>
      <c r="D26" s="90"/>
      <c r="E26" s="47"/>
      <c r="F26" s="49"/>
      <c r="G26" s="48"/>
      <c r="H26" s="49"/>
      <c r="I26" s="49"/>
      <c r="J26" s="49"/>
      <c r="K26" s="48"/>
      <c r="L26" s="48"/>
      <c r="M26" s="52"/>
      <c r="N26" s="48"/>
      <c r="O26" s="48"/>
      <c r="P26" s="94"/>
    </row>
    <row r="27" spans="1:16">
      <c r="A27" s="9"/>
      <c r="B27" s="5"/>
      <c r="C27" s="90"/>
      <c r="D27" s="90"/>
      <c r="E27" s="47"/>
      <c r="F27" s="49"/>
      <c r="G27" s="48"/>
      <c r="H27" s="49"/>
      <c r="I27" s="49"/>
      <c r="J27" s="49"/>
      <c r="K27" s="48"/>
      <c r="L27" s="48"/>
      <c r="M27" s="52"/>
      <c r="N27" s="48"/>
      <c r="O27" s="48"/>
      <c r="P27" s="94"/>
    </row>
    <row r="28" spans="1:16">
      <c r="A28" s="9"/>
      <c r="B28" s="5"/>
      <c r="C28" s="41"/>
      <c r="D28" s="41"/>
      <c r="E28" s="47"/>
      <c r="F28" s="49"/>
      <c r="G28" s="48"/>
      <c r="H28" s="49"/>
      <c r="I28" s="49"/>
      <c r="J28" s="49"/>
      <c r="K28" s="48"/>
      <c r="L28" s="48"/>
      <c r="M28" s="52"/>
      <c r="N28" s="48"/>
      <c r="O28" s="48"/>
      <c r="P28" s="94"/>
    </row>
    <row r="29" spans="1:16">
      <c r="A29" s="9"/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94"/>
    </row>
    <row r="30" spans="1:16" ht="14.25" customHeight="1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94"/>
    </row>
    <row r="31" spans="1:16" ht="14.25" customHeight="1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94"/>
    </row>
    <row r="32" spans="1:16" ht="14.25" customHeight="1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94"/>
    </row>
    <row r="33" spans="1:16" ht="14.25" customHeight="1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94"/>
    </row>
    <row r="34" spans="1:16" ht="14.25" customHeight="1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94"/>
    </row>
    <row r="35" spans="1:16" ht="14.25" customHeight="1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94"/>
    </row>
    <row r="36" spans="1:16" ht="14.25" customHeight="1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94"/>
    </row>
    <row r="37" spans="1:16" ht="14.25" customHeight="1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94"/>
    </row>
    <row r="38" spans="1:16" ht="14.25" customHeight="1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94"/>
    </row>
    <row r="39" spans="1:16" ht="14.25" customHeight="1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94"/>
    </row>
    <row r="40" spans="1:16" ht="14.25" customHeight="1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94"/>
    </row>
    <row r="41" spans="1:16" ht="14.25" customHeight="1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94"/>
    </row>
    <row r="42" spans="1:16" ht="14.25" customHeight="1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94"/>
    </row>
    <row r="43" spans="1:16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94"/>
    </row>
    <row r="44" spans="1:16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94"/>
    </row>
    <row r="45" spans="1:16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94"/>
    </row>
    <row r="46" spans="1:16" ht="13.5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94"/>
    </row>
    <row r="47" spans="1:16">
      <c r="A47" s="9"/>
      <c r="B47" s="7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95"/>
    </row>
    <row r="48" spans="1:16">
      <c r="A48" s="9"/>
    </row>
  </sheetData>
  <mergeCells count="4">
    <mergeCell ref="N10:O10"/>
    <mergeCell ref="C14:D14"/>
    <mergeCell ref="E10:L10"/>
    <mergeCell ref="C8:O8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4" tint="0.79998168889431442"/>
  </sheetPr>
  <dimension ref="A1:T41"/>
  <sheetViews>
    <sheetView showGridLines="0" zoomScaleNormal="100" workbookViewId="0">
      <selection activeCell="A14" sqref="A14:XFD14"/>
    </sheetView>
  </sheetViews>
  <sheetFormatPr defaultColWidth="11.42578125" defaultRowHeight="15"/>
  <cols>
    <col min="1" max="1" width="2.85546875" style="110" customWidth="1"/>
    <col min="2" max="2" width="4.42578125" style="86" customWidth="1"/>
    <col min="3" max="3" width="17.140625" style="86" customWidth="1"/>
    <col min="4" max="4" width="22.85546875" style="86" customWidth="1"/>
    <col min="5" max="11" width="17.140625" style="86" customWidth="1"/>
    <col min="12" max="13" width="2.140625" style="86" customWidth="1"/>
    <col min="14" max="15" width="17.140625" style="86" customWidth="1"/>
    <col min="16" max="16" width="4.28515625" style="75" customWidth="1"/>
    <col min="17" max="17" width="2.85546875" style="86" customWidth="1"/>
    <col min="18" max="19" width="11.42578125" style="86" customWidth="1"/>
    <col min="20" max="16384" width="11.42578125" style="86"/>
  </cols>
  <sheetData>
    <row r="1" spans="1:20"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Q1" s="110"/>
    </row>
    <row r="2" spans="1:20" s="75" customFormat="1">
      <c r="B2" s="97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9"/>
      <c r="T2" s="100"/>
    </row>
    <row r="3" spans="1:20">
      <c r="B3" s="115"/>
      <c r="P3" s="101"/>
    </row>
    <row r="4" spans="1:20">
      <c r="B4" s="115"/>
      <c r="P4" s="101"/>
    </row>
    <row r="5" spans="1:20">
      <c r="B5" s="115"/>
      <c r="P5" s="101"/>
    </row>
    <row r="6" spans="1:20">
      <c r="B6" s="115"/>
      <c r="P6" s="101"/>
    </row>
    <row r="7" spans="1:20">
      <c r="B7" s="115"/>
      <c r="P7" s="101"/>
    </row>
    <row r="8" spans="1:20" s="180" customFormat="1" ht="63" customHeight="1" thickBot="1">
      <c r="B8" s="184"/>
      <c r="C8" s="319" t="str">
        <f>'Page de garde'!C13&amp;" : Détail des prestations réglées - Focus optique"</f>
        <v xml:space="preserve"> : Détail des prestations réglées - Focus optique</v>
      </c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1"/>
      <c r="P8" s="185"/>
    </row>
    <row r="9" spans="1:20" hidden="1">
      <c r="B9" s="115"/>
      <c r="P9" s="101"/>
    </row>
    <row r="10" spans="1:20" ht="15" customHeight="1" thickBot="1">
      <c r="B10" s="115"/>
      <c r="C10" s="52"/>
      <c r="D10" s="52"/>
      <c r="E10" s="52"/>
      <c r="F10" s="52"/>
      <c r="G10" s="52"/>
      <c r="H10" s="52"/>
      <c r="I10" s="52"/>
      <c r="J10" s="53"/>
      <c r="K10" s="53"/>
      <c r="L10" s="53"/>
      <c r="M10" s="53"/>
      <c r="P10" s="101"/>
    </row>
    <row r="11" spans="1:20" ht="12.75" customHeight="1" thickBot="1">
      <c r="B11" s="115"/>
      <c r="C11" s="52"/>
      <c r="D11" s="52"/>
      <c r="E11" s="336" t="s">
        <v>163</v>
      </c>
      <c r="F11" s="337"/>
      <c r="G11" s="337"/>
      <c r="H11" s="337"/>
      <c r="I11" s="337"/>
      <c r="J11" s="337"/>
      <c r="K11" s="338"/>
      <c r="L11" s="53"/>
      <c r="M11" s="53"/>
      <c r="N11" s="336" t="s">
        <v>164</v>
      </c>
      <c r="O11" s="338"/>
      <c r="P11" s="101"/>
    </row>
    <row r="12" spans="1:20">
      <c r="B12" s="115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101"/>
    </row>
    <row r="13" spans="1:20" ht="39" thickBot="1">
      <c r="B13" s="115"/>
      <c r="C13" s="52"/>
      <c r="D13" s="52"/>
      <c r="E13" s="244" t="s">
        <v>165</v>
      </c>
      <c r="F13" s="283" t="s">
        <v>166</v>
      </c>
      <c r="G13" s="283" t="s">
        <v>167</v>
      </c>
      <c r="H13" s="284" t="s">
        <v>168</v>
      </c>
      <c r="I13" s="285" t="s">
        <v>169</v>
      </c>
      <c r="J13" s="286" t="s">
        <v>170</v>
      </c>
      <c r="K13" s="287" t="s">
        <v>171</v>
      </c>
      <c r="L13" s="52"/>
      <c r="M13" s="52"/>
      <c r="N13" s="283" t="s">
        <v>166</v>
      </c>
      <c r="O13" s="285" t="s">
        <v>169</v>
      </c>
      <c r="P13" s="101"/>
    </row>
    <row r="14" spans="1:20" s="176" customFormat="1" ht="15.75" thickBot="1">
      <c r="A14" s="165"/>
      <c r="B14" s="115"/>
      <c r="C14" s="55"/>
      <c r="D14" s="56"/>
      <c r="E14" s="145"/>
      <c r="F14" s="146"/>
      <c r="G14" s="146"/>
      <c r="H14" s="146"/>
      <c r="I14" s="146"/>
      <c r="J14" s="146"/>
      <c r="K14" s="146"/>
      <c r="L14" s="148"/>
      <c r="M14" s="148"/>
      <c r="N14" s="146"/>
      <c r="O14" s="146"/>
      <c r="P14" s="101"/>
    </row>
    <row r="15" spans="1:20" s="176" customFormat="1" ht="15.75" thickBot="1">
      <c r="A15" s="165"/>
      <c r="B15" s="115"/>
      <c r="C15" s="55"/>
      <c r="D15" s="56" t="s">
        <v>172</v>
      </c>
      <c r="E15" s="145"/>
      <c r="F15" s="146"/>
      <c r="G15" s="146"/>
      <c r="H15" s="146"/>
      <c r="I15" s="146"/>
      <c r="J15" s="146"/>
      <c r="K15" s="146"/>
      <c r="L15" s="148"/>
      <c r="M15" s="148"/>
      <c r="N15" s="146"/>
      <c r="O15" s="146"/>
      <c r="P15" s="101"/>
    </row>
    <row r="16" spans="1:20" s="176" customFormat="1" ht="15.75" thickBot="1">
      <c r="A16" s="165"/>
      <c r="B16" s="115"/>
      <c r="C16" s="55"/>
      <c r="D16" s="56" t="s">
        <v>173</v>
      </c>
      <c r="E16" s="145"/>
      <c r="F16" s="146"/>
      <c r="G16" s="146"/>
      <c r="H16" s="146"/>
      <c r="I16" s="146"/>
      <c r="J16" s="146"/>
      <c r="K16" s="146"/>
      <c r="L16" s="148"/>
      <c r="M16" s="148"/>
      <c r="N16" s="146"/>
      <c r="O16" s="146"/>
      <c r="P16" s="101"/>
    </row>
    <row r="17" spans="2:16" ht="15.75" thickBot="1">
      <c r="B17" s="115"/>
      <c r="C17" s="341" t="s">
        <v>3</v>
      </c>
      <c r="D17" s="342"/>
      <c r="E17" s="279"/>
      <c r="F17" s="280"/>
      <c r="G17" s="280"/>
      <c r="H17" s="280"/>
      <c r="I17" s="280"/>
      <c r="J17" s="280"/>
      <c r="K17" s="280"/>
      <c r="L17" s="152"/>
      <c r="M17" s="152"/>
      <c r="N17" s="288"/>
      <c r="O17" s="288"/>
      <c r="P17" s="101"/>
    </row>
    <row r="18" spans="2:16">
      <c r="B18" s="115"/>
      <c r="P18" s="101"/>
    </row>
    <row r="19" spans="2:16" ht="16.5" customHeight="1">
      <c r="B19" s="115"/>
      <c r="N19" s="345" t="s">
        <v>174</v>
      </c>
      <c r="O19" s="347">
        <v>0.58391938700535317</v>
      </c>
      <c r="P19" s="101"/>
    </row>
    <row r="20" spans="2:16">
      <c r="B20" s="115"/>
      <c r="N20" s="346"/>
      <c r="O20" s="348"/>
      <c r="P20" s="101"/>
    </row>
    <row r="21" spans="2:16">
      <c r="B21" s="115"/>
      <c r="P21" s="101"/>
    </row>
    <row r="22" spans="2:16">
      <c r="B22" s="115"/>
      <c r="P22" s="101"/>
    </row>
    <row r="23" spans="2:16">
      <c r="B23" s="115"/>
      <c r="P23" s="101"/>
    </row>
    <row r="24" spans="2:16">
      <c r="B24" s="115"/>
      <c r="P24" s="101"/>
    </row>
    <row r="25" spans="2:16">
      <c r="B25" s="115"/>
      <c r="P25" s="101"/>
    </row>
    <row r="26" spans="2:16">
      <c r="B26" s="115"/>
      <c r="P26" s="101"/>
    </row>
    <row r="27" spans="2:16">
      <c r="B27" s="115"/>
      <c r="P27" s="101"/>
    </row>
    <row r="28" spans="2:16">
      <c r="B28" s="115"/>
      <c r="P28" s="101"/>
    </row>
    <row r="29" spans="2:16">
      <c r="B29" s="115"/>
      <c r="P29" s="101"/>
    </row>
    <row r="30" spans="2:16">
      <c r="B30" s="115"/>
      <c r="P30" s="101"/>
    </row>
    <row r="31" spans="2:16">
      <c r="B31" s="115"/>
      <c r="P31" s="101"/>
    </row>
    <row r="32" spans="2:16">
      <c r="B32" s="115"/>
      <c r="P32" s="101"/>
    </row>
    <row r="33" spans="2:16">
      <c r="B33" s="115"/>
      <c r="P33" s="101"/>
    </row>
    <row r="34" spans="2:16">
      <c r="B34" s="115"/>
      <c r="P34" s="101"/>
    </row>
    <row r="35" spans="2:16">
      <c r="B35" s="115"/>
      <c r="P35" s="101"/>
    </row>
    <row r="36" spans="2:16">
      <c r="B36" s="115"/>
      <c r="P36" s="101"/>
    </row>
    <row r="37" spans="2:16">
      <c r="B37" s="115"/>
      <c r="P37" s="101"/>
    </row>
    <row r="38" spans="2:16">
      <c r="B38" s="115"/>
      <c r="P38" s="101"/>
    </row>
    <row r="39" spans="2:16">
      <c r="B39" s="115"/>
      <c r="P39" s="101"/>
    </row>
    <row r="40" spans="2:16">
      <c r="B40" s="115"/>
      <c r="P40" s="101"/>
    </row>
    <row r="41" spans="2:16">
      <c r="B41" s="141"/>
      <c r="C41" s="142"/>
      <c r="D41" s="142"/>
      <c r="E41" s="142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02"/>
    </row>
  </sheetData>
  <mergeCells count="6">
    <mergeCell ref="C8:O8"/>
    <mergeCell ref="N11:O11"/>
    <mergeCell ref="C17:D17"/>
    <mergeCell ref="N19:N20"/>
    <mergeCell ref="O19:O20"/>
    <mergeCell ref="E11:K11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>
    <tabColor theme="4" tint="0.79998168889431442"/>
  </sheetPr>
  <dimension ref="A1:T83"/>
  <sheetViews>
    <sheetView showGridLines="0" zoomScaleNormal="100" workbookViewId="0">
      <selection activeCell="C8" sqref="C8:O8"/>
    </sheetView>
  </sheetViews>
  <sheetFormatPr defaultColWidth="11.42578125" defaultRowHeight="15"/>
  <cols>
    <col min="1" max="1" width="2.85546875" style="110" customWidth="1"/>
    <col min="2" max="2" width="4.42578125" style="86" customWidth="1"/>
    <col min="3" max="4" width="22.85546875" style="86" customWidth="1"/>
    <col min="5" max="10" width="18.5703125" style="86" customWidth="1"/>
    <col min="11" max="11" width="2.140625" style="86" customWidth="1"/>
    <col min="12" max="12" width="1.42578125" style="86" customWidth="1"/>
    <col min="13" max="13" width="2.140625" style="86" customWidth="1"/>
    <col min="14" max="15" width="18.5703125" style="86" customWidth="1"/>
    <col min="16" max="16" width="4.28515625" style="75" customWidth="1"/>
    <col min="17" max="17" width="2.85546875" style="86" customWidth="1"/>
    <col min="18" max="19" width="11.42578125" style="86" customWidth="1"/>
    <col min="20" max="16384" width="11.42578125" style="86"/>
  </cols>
  <sheetData>
    <row r="1" spans="2:20"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Q1" s="110"/>
    </row>
    <row r="2" spans="2:20" s="75" customFormat="1">
      <c r="B2" s="97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9"/>
      <c r="T2" s="100"/>
    </row>
    <row r="3" spans="2:20">
      <c r="B3" s="115"/>
      <c r="P3" s="101"/>
    </row>
    <row r="4" spans="2:20">
      <c r="B4" s="115"/>
      <c r="P4" s="101"/>
    </row>
    <row r="5" spans="2:20">
      <c r="B5" s="115"/>
      <c r="P5" s="101"/>
    </row>
    <row r="6" spans="2:20">
      <c r="B6" s="115"/>
      <c r="P6" s="101"/>
    </row>
    <row r="7" spans="2:20">
      <c r="B7" s="115"/>
      <c r="P7" s="101"/>
    </row>
    <row r="8" spans="2:20" ht="63" customHeight="1">
      <c r="B8" s="115"/>
      <c r="C8" s="319" t="str">
        <f>'Page de garde'!C13&amp;" : Détail des prestations réglées - Focus optique"</f>
        <v xml:space="preserve"> : Détail des prestations réglées - Focus optique</v>
      </c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1"/>
      <c r="P8" s="101"/>
    </row>
    <row r="9" spans="2:20" hidden="1">
      <c r="B9" s="115"/>
      <c r="P9" s="101"/>
    </row>
    <row r="10" spans="2:20">
      <c r="B10" s="115"/>
      <c r="P10" s="101"/>
    </row>
    <row r="11" spans="2:20">
      <c r="B11" s="115"/>
      <c r="P11" s="101"/>
    </row>
    <row r="12" spans="2:20">
      <c r="B12" s="115"/>
      <c r="P12" s="101"/>
    </row>
    <row r="13" spans="2:20">
      <c r="B13" s="115"/>
      <c r="P13" s="101"/>
    </row>
    <row r="14" spans="2:20">
      <c r="B14" s="115"/>
      <c r="P14" s="101"/>
    </row>
    <row r="15" spans="2:20">
      <c r="B15" s="115"/>
      <c r="P15" s="101"/>
    </row>
    <row r="16" spans="2:20">
      <c r="B16" s="115"/>
      <c r="P16" s="101"/>
    </row>
    <row r="17" spans="2:16">
      <c r="B17" s="115"/>
      <c r="P17" s="101"/>
    </row>
    <row r="18" spans="2:16">
      <c r="B18" s="115"/>
      <c r="P18" s="101"/>
    </row>
    <row r="19" spans="2:16">
      <c r="B19" s="115"/>
      <c r="P19" s="101"/>
    </row>
    <row r="20" spans="2:16">
      <c r="B20" s="115"/>
      <c r="P20" s="101"/>
    </row>
    <row r="21" spans="2:16">
      <c r="B21" s="115"/>
      <c r="P21" s="101"/>
    </row>
    <row r="22" spans="2:16">
      <c r="B22" s="115"/>
      <c r="P22" s="101"/>
    </row>
    <row r="23" spans="2:16">
      <c r="B23" s="115"/>
      <c r="P23" s="101"/>
    </row>
    <row r="24" spans="2:16">
      <c r="B24" s="115"/>
      <c r="P24" s="101"/>
    </row>
    <row r="25" spans="2:16">
      <c r="B25" s="115"/>
      <c r="P25" s="101"/>
    </row>
    <row r="26" spans="2:16">
      <c r="B26" s="115"/>
      <c r="P26" s="101"/>
    </row>
    <row r="27" spans="2:16">
      <c r="B27" s="115"/>
      <c r="P27" s="101"/>
    </row>
    <row r="28" spans="2:16">
      <c r="B28" s="115"/>
      <c r="P28" s="101"/>
    </row>
    <row r="29" spans="2:16">
      <c r="B29" s="115"/>
      <c r="P29" s="101"/>
    </row>
    <row r="30" spans="2:16">
      <c r="B30" s="115"/>
      <c r="P30" s="101"/>
    </row>
    <row r="31" spans="2:16">
      <c r="B31" s="115"/>
      <c r="P31" s="101"/>
    </row>
    <row r="32" spans="2:16">
      <c r="B32" s="115"/>
      <c r="P32" s="101"/>
    </row>
    <row r="33" spans="2:16">
      <c r="B33" s="115"/>
      <c r="P33" s="101"/>
    </row>
    <row r="34" spans="2:16">
      <c r="B34" s="115"/>
      <c r="P34" s="101"/>
    </row>
    <row r="35" spans="2:16">
      <c r="B35" s="115"/>
      <c r="P35" s="101"/>
    </row>
    <row r="36" spans="2:16">
      <c r="B36" s="115"/>
      <c r="P36" s="101"/>
    </row>
    <row r="37" spans="2:16">
      <c r="B37" s="115"/>
      <c r="P37" s="101"/>
    </row>
    <row r="38" spans="2:16">
      <c r="B38" s="115"/>
      <c r="P38" s="101"/>
    </row>
    <row r="39" spans="2:16">
      <c r="B39" s="115"/>
      <c r="P39" s="101"/>
    </row>
    <row r="40" spans="2:16">
      <c r="B40" s="115"/>
      <c r="P40" s="101"/>
    </row>
    <row r="41" spans="2:16">
      <c r="B41" s="115"/>
      <c r="P41" s="101"/>
    </row>
    <row r="42" spans="2:16">
      <c r="B42" s="115"/>
      <c r="P42" s="101"/>
    </row>
    <row r="43" spans="2:16">
      <c r="B43" s="115"/>
      <c r="P43" s="101"/>
    </row>
    <row r="44" spans="2:16">
      <c r="B44" s="115"/>
      <c r="P44" s="101"/>
    </row>
    <row r="45" spans="2:16">
      <c r="B45" s="115"/>
      <c r="P45" s="101"/>
    </row>
    <row r="46" spans="2:16" hidden="1">
      <c r="B46" s="115"/>
      <c r="P46" s="101"/>
    </row>
    <row r="47" spans="2:16">
      <c r="B47" s="115"/>
      <c r="P47" s="101"/>
    </row>
    <row r="48" spans="2:16" ht="13.5" customHeight="1">
      <c r="B48" s="115"/>
      <c r="P48" s="101"/>
    </row>
    <row r="49" spans="2:16">
      <c r="B49" s="141"/>
      <c r="C49" s="142"/>
      <c r="D49" s="142"/>
      <c r="E49" s="142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02"/>
    </row>
    <row r="60" spans="2:16">
      <c r="C60" s="86" t="s">
        <v>158</v>
      </c>
    </row>
    <row r="61" spans="2:16">
      <c r="C61" s="86" t="s">
        <v>159</v>
      </c>
    </row>
    <row r="68" spans="3:8">
      <c r="D68" s="349" t="s">
        <v>160</v>
      </c>
      <c r="E68" s="349"/>
      <c r="F68" s="349" t="s">
        <v>161</v>
      </c>
      <c r="G68" s="349"/>
      <c r="H68" s="349"/>
    </row>
    <row r="69" spans="3:8">
      <c r="D69" s="86" t="s">
        <v>158</v>
      </c>
      <c r="E69" s="86" t="s">
        <v>159</v>
      </c>
      <c r="F69" s="86" t="s">
        <v>158</v>
      </c>
      <c r="G69" s="86" t="s">
        <v>162</v>
      </c>
      <c r="H69" s="86" t="s">
        <v>159</v>
      </c>
    </row>
    <row r="70" spans="3:8">
      <c r="C70" s="86" t="s">
        <v>82</v>
      </c>
      <c r="D70" s="169"/>
      <c r="E70" s="169"/>
      <c r="F70" s="1"/>
      <c r="G70" s="1"/>
      <c r="H70" s="1"/>
    </row>
    <row r="71" spans="3:8">
      <c r="C71" s="86" t="s">
        <v>86</v>
      </c>
      <c r="D71" s="169"/>
      <c r="E71" s="169"/>
      <c r="F71" s="1"/>
      <c r="G71" s="1"/>
      <c r="H71" s="1"/>
    </row>
    <row r="72" spans="3:8">
      <c r="C72" s="86" t="s">
        <v>89</v>
      </c>
      <c r="D72" s="169"/>
      <c r="E72" s="169"/>
      <c r="F72" s="1"/>
      <c r="G72" s="1"/>
      <c r="H72" s="1"/>
    </row>
    <row r="73" spans="3:8">
      <c r="C73" s="86" t="s">
        <v>96</v>
      </c>
      <c r="D73" s="169"/>
      <c r="E73" s="169"/>
      <c r="F73" s="1"/>
      <c r="G73" s="1"/>
      <c r="H73" s="1"/>
    </row>
    <row r="74" spans="3:8">
      <c r="D74" s="169"/>
      <c r="E74" s="169"/>
      <c r="F74" s="1"/>
      <c r="G74" s="1"/>
      <c r="H74" s="1"/>
    </row>
    <row r="75" spans="3:8">
      <c r="D75" s="169"/>
      <c r="E75" s="169"/>
      <c r="F75" s="1"/>
      <c r="G75" s="1"/>
      <c r="H75" s="1"/>
    </row>
    <row r="76" spans="3:8">
      <c r="D76" s="169"/>
      <c r="E76" s="169"/>
      <c r="F76" s="1"/>
      <c r="G76" s="1"/>
      <c r="H76" s="1"/>
    </row>
    <row r="77" spans="3:8">
      <c r="D77" s="169"/>
      <c r="E77" s="169"/>
      <c r="F77" s="1"/>
      <c r="G77" s="1"/>
      <c r="H77" s="1"/>
    </row>
    <row r="78" spans="3:8">
      <c r="D78" s="169"/>
      <c r="E78" s="169"/>
      <c r="F78" s="1"/>
      <c r="G78" s="1"/>
      <c r="H78" s="1"/>
    </row>
    <row r="79" spans="3:8">
      <c r="D79" s="169"/>
      <c r="E79" s="169"/>
      <c r="F79" s="170"/>
      <c r="G79" s="170"/>
      <c r="H79" s="170"/>
    </row>
    <row r="80" spans="3:8">
      <c r="D80" s="169"/>
      <c r="E80" s="169"/>
      <c r="F80" s="170"/>
      <c r="G80" s="170"/>
      <c r="H80" s="170"/>
    </row>
    <row r="81" spans="4:8">
      <c r="D81" s="169"/>
      <c r="E81" s="169"/>
      <c r="F81" s="170"/>
      <c r="G81" s="170"/>
      <c r="H81" s="170"/>
    </row>
    <row r="82" spans="4:8">
      <c r="D82" s="169"/>
      <c r="E82" s="169"/>
      <c r="F82" s="170"/>
      <c r="G82" s="170"/>
      <c r="H82" s="170"/>
    </row>
    <row r="83" spans="4:8">
      <c r="D83" s="169"/>
      <c r="E83" s="169"/>
      <c r="F83" s="170"/>
      <c r="G83" s="170"/>
      <c r="H83" s="170"/>
    </row>
  </sheetData>
  <mergeCells count="3">
    <mergeCell ref="D68:E68"/>
    <mergeCell ref="F68:H68"/>
    <mergeCell ref="C8:O8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theme="4" tint="0.79998168889431442"/>
  </sheetPr>
  <dimension ref="A1:T51"/>
  <sheetViews>
    <sheetView showGridLines="0" workbookViewId="0">
      <selection activeCell="E2" sqref="E2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18.5703125" style="4" customWidth="1"/>
    <col min="4" max="9" width="11.42578125" style="4" customWidth="1"/>
    <col min="10" max="10" width="14.28515625" style="4" customWidth="1"/>
    <col min="11" max="17" width="11.42578125" style="4" customWidth="1"/>
    <col min="18" max="18" width="18.5703125" style="4" customWidth="1"/>
    <col min="19" max="19" width="4.140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</row>
    <row r="2" spans="1:20">
      <c r="B2" s="91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3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94"/>
    </row>
    <row r="4" spans="1:20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94"/>
    </row>
    <row r="5" spans="1:20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94"/>
    </row>
    <row r="6" spans="1:20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94"/>
    </row>
    <row r="7" spans="1:20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94"/>
    </row>
    <row r="8" spans="1:20" ht="61.5" customHeight="1">
      <c r="A8" s="9"/>
      <c r="B8" s="5"/>
      <c r="C8" s="319" t="str">
        <f>'Page de garde'!C13&amp;" : Analyse de la dépense médicale optique"</f>
        <v xml:space="preserve"> : Analyse de la dépense médicale optique</v>
      </c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1"/>
      <c r="S8" s="94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94"/>
    </row>
    <row r="10" spans="1:20" hidden="1">
      <c r="A10" s="9"/>
      <c r="B10" s="5"/>
      <c r="C10" s="6"/>
      <c r="Q10" s="6"/>
      <c r="R10" s="6"/>
      <c r="S10" s="94"/>
    </row>
    <row r="11" spans="1:20" hidden="1">
      <c r="A11" s="9"/>
      <c r="B11" s="5"/>
      <c r="C11" s="6"/>
      <c r="Q11" s="6"/>
      <c r="R11" s="6"/>
      <c r="S11" s="94"/>
    </row>
    <row r="12" spans="1:20" ht="13.5" customHeight="1">
      <c r="A12" s="9"/>
      <c r="B12" s="5"/>
      <c r="C12" s="6"/>
      <c r="Q12" s="6"/>
      <c r="R12" s="6"/>
      <c r="S12" s="94"/>
    </row>
    <row r="13" spans="1:20">
      <c r="A13" s="9"/>
      <c r="B13" s="5"/>
      <c r="C13" s="6"/>
      <c r="Q13" s="6"/>
      <c r="R13" s="6"/>
      <c r="S13" s="94"/>
    </row>
    <row r="14" spans="1:20" ht="15.75" customHeight="1">
      <c r="A14" s="9"/>
      <c r="B14" s="5"/>
      <c r="C14" s="6"/>
      <c r="Q14" s="6"/>
      <c r="R14" s="6"/>
      <c r="S14" s="94"/>
    </row>
    <row r="15" spans="1:20">
      <c r="A15" s="9"/>
      <c r="B15" s="5"/>
      <c r="C15" s="6"/>
      <c r="Q15" s="6"/>
      <c r="R15" s="6"/>
      <c r="S15" s="94"/>
    </row>
    <row r="16" spans="1:20">
      <c r="A16" s="9"/>
      <c r="B16" s="5"/>
      <c r="C16" s="6"/>
      <c r="Q16" s="6"/>
      <c r="R16" s="6"/>
      <c r="S16" s="94"/>
    </row>
    <row r="17" spans="1:19">
      <c r="A17" s="9"/>
      <c r="B17" s="5"/>
      <c r="C17" s="6"/>
      <c r="Q17" s="6"/>
      <c r="R17" s="6"/>
      <c r="S17" s="94"/>
    </row>
    <row r="18" spans="1:19">
      <c r="A18" s="9"/>
      <c r="B18" s="5"/>
      <c r="C18" s="6"/>
      <c r="Q18" s="6"/>
      <c r="R18" s="6"/>
      <c r="S18" s="94"/>
    </row>
    <row r="19" spans="1:19">
      <c r="A19" s="9"/>
      <c r="B19" s="5"/>
      <c r="C19" s="6"/>
      <c r="Q19" s="6"/>
      <c r="R19" s="6"/>
      <c r="S19" s="94"/>
    </row>
    <row r="20" spans="1:19">
      <c r="A20" s="9"/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94"/>
    </row>
    <row r="21" spans="1:19">
      <c r="A21" s="9"/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94"/>
    </row>
    <row r="22" spans="1:19" ht="23.25">
      <c r="A22" s="9"/>
      <c r="B22" s="5"/>
      <c r="C22" s="6"/>
      <c r="D22" s="6"/>
      <c r="F22" s="59" t="s">
        <v>237</v>
      </c>
      <c r="G22" s="6"/>
      <c r="H22" s="6"/>
      <c r="I22" s="6"/>
      <c r="K22" s="6"/>
      <c r="L22" s="57"/>
      <c r="M22" s="59" t="s">
        <v>238</v>
      </c>
      <c r="N22" s="6"/>
      <c r="O22" s="6"/>
      <c r="P22" s="6"/>
      <c r="Q22" s="6"/>
      <c r="R22" s="6"/>
      <c r="S22" s="94"/>
    </row>
    <row r="23" spans="1:19">
      <c r="A23" s="9"/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94"/>
    </row>
    <row r="24" spans="1:19">
      <c r="A24" s="9"/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94"/>
    </row>
    <row r="25" spans="1:19">
      <c r="A25" s="9"/>
      <c r="B25" s="5"/>
      <c r="C25" s="6"/>
      <c r="D25" s="6"/>
      <c r="E25" s="6"/>
      <c r="F25" s="6"/>
      <c r="G25" s="6" t="s">
        <v>157</v>
      </c>
      <c r="H25" s="6"/>
      <c r="I25" s="6"/>
      <c r="J25" s="6"/>
      <c r="K25" s="6"/>
      <c r="L25" s="6"/>
      <c r="M25" s="6" t="s">
        <v>157</v>
      </c>
      <c r="N25" s="6"/>
      <c r="O25" s="6"/>
      <c r="P25" s="6"/>
      <c r="Q25" s="6"/>
      <c r="R25" s="6"/>
      <c r="S25" s="94"/>
    </row>
    <row r="26" spans="1:19">
      <c r="A26" s="9"/>
      <c r="B26" s="5"/>
      <c r="C26" s="6"/>
      <c r="D26" s="6" t="s">
        <v>182</v>
      </c>
      <c r="E26" s="6"/>
      <c r="F26" s="50">
        <f>VLOOKUP($F$22,'DATA QUARTILE'!$A:$H,2,FALSE)</f>
        <v>0</v>
      </c>
      <c r="G26" s="50">
        <f>ROUND(VLOOKUP($F$22,'DATA QUARTILE'!$A:$H,8,FALSE),0)</f>
        <v>0</v>
      </c>
      <c r="H26" s="6"/>
      <c r="I26" s="6"/>
      <c r="J26" s="6" t="s">
        <v>182</v>
      </c>
      <c r="K26" s="6"/>
      <c r="L26" s="50">
        <f>VLOOKUP($M$22,'DATA QUARTILE'!$A:$H,2,FALSE)</f>
        <v>0</v>
      </c>
      <c r="M26" s="50">
        <f>ROUND(VLOOKUP($M$22,'DATA QUARTILE'!$A:$H,8,FALSE),0)</f>
        <v>0</v>
      </c>
      <c r="N26" s="6"/>
      <c r="O26" s="6"/>
      <c r="P26" s="6"/>
      <c r="Q26" s="6"/>
      <c r="R26" s="6"/>
      <c r="S26" s="94"/>
    </row>
    <row r="27" spans="1:19">
      <c r="A27" s="9"/>
      <c r="B27" s="5"/>
      <c r="C27" s="6"/>
      <c r="D27" s="6"/>
      <c r="E27" s="6" t="s">
        <v>183</v>
      </c>
      <c r="F27" s="50">
        <f>VLOOKUP($F$22,'DATA QUARTILE'!$A:$H,4,FALSE)</f>
        <v>0</v>
      </c>
      <c r="G27" s="50">
        <f>G26</f>
        <v>0</v>
      </c>
      <c r="H27" s="6"/>
      <c r="I27" s="6"/>
      <c r="J27" s="6"/>
      <c r="K27" s="6" t="s">
        <v>183</v>
      </c>
      <c r="L27" s="50">
        <f>VLOOKUP($M$22,'DATA QUARTILE'!$A:$H,4,FALSE)</f>
        <v>0</v>
      </c>
      <c r="M27" s="50">
        <f>M26</f>
        <v>0</v>
      </c>
      <c r="N27" s="6"/>
      <c r="O27" s="6"/>
      <c r="P27" s="6"/>
      <c r="Q27" s="6"/>
      <c r="R27" s="6"/>
      <c r="S27" s="94"/>
    </row>
    <row r="28" spans="1:19">
      <c r="A28" s="9"/>
      <c r="B28" s="5"/>
      <c r="C28" s="6"/>
      <c r="D28" s="6"/>
      <c r="E28" s="6" t="s">
        <v>184</v>
      </c>
      <c r="F28" s="50">
        <f>VLOOKUP($F$22,'DATA QUARTILE'!$A:$H,5,FALSE)</f>
        <v>0</v>
      </c>
      <c r="G28" s="50">
        <f>G27</f>
        <v>0</v>
      </c>
      <c r="H28" s="6"/>
      <c r="I28" s="6"/>
      <c r="J28" s="6"/>
      <c r="K28" s="6" t="s">
        <v>184</v>
      </c>
      <c r="L28" s="50">
        <f>VLOOKUP($M$22,'DATA QUARTILE'!$A:$H,5,FALSE)</f>
        <v>0</v>
      </c>
      <c r="M28" s="50">
        <f>M27</f>
        <v>0</v>
      </c>
      <c r="N28" s="6"/>
      <c r="O28" s="6"/>
      <c r="P28" s="6"/>
      <c r="Q28" s="6"/>
      <c r="R28" s="6"/>
      <c r="S28" s="94"/>
    </row>
    <row r="29" spans="1:19">
      <c r="A29" s="9"/>
      <c r="B29" s="5"/>
      <c r="C29" s="6"/>
      <c r="D29" s="6"/>
      <c r="E29" s="6" t="s">
        <v>185</v>
      </c>
      <c r="F29" s="50">
        <f>VLOOKUP($F$22,'DATA QUARTILE'!$A:$H,6,FALSE)</f>
        <v>0</v>
      </c>
      <c r="G29" s="50">
        <f>G28</f>
        <v>0</v>
      </c>
      <c r="H29" s="6"/>
      <c r="I29" s="6"/>
      <c r="J29" s="6"/>
      <c r="K29" s="6" t="s">
        <v>185</v>
      </c>
      <c r="L29" s="50">
        <f>VLOOKUP($M$22,'DATA QUARTILE'!$A:$H,6,FALSE)</f>
        <v>0</v>
      </c>
      <c r="M29" s="50">
        <f>M28</f>
        <v>0</v>
      </c>
      <c r="N29" s="6"/>
      <c r="O29" s="6"/>
      <c r="P29" s="6"/>
      <c r="Q29" s="6"/>
      <c r="R29" s="6"/>
      <c r="S29" s="94"/>
    </row>
    <row r="30" spans="1:19">
      <c r="A30" s="9"/>
      <c r="B30" s="5"/>
      <c r="C30" s="6"/>
      <c r="D30" s="6"/>
      <c r="E30" s="6" t="s">
        <v>186</v>
      </c>
      <c r="F30" s="50">
        <f>VLOOKUP($F$22,'DATA QUARTILE'!$A:$H,7,FALSE)</f>
        <v>0</v>
      </c>
      <c r="G30" s="50">
        <f>G29</f>
        <v>0</v>
      </c>
      <c r="H30" s="6"/>
      <c r="I30" s="6"/>
      <c r="J30" s="6"/>
      <c r="K30" s="6" t="s">
        <v>186</v>
      </c>
      <c r="L30" s="50">
        <f>VLOOKUP($M$22,'DATA QUARTILE'!$A:$H,7,FALSE)</f>
        <v>0</v>
      </c>
      <c r="M30" s="50">
        <f>M29</f>
        <v>0</v>
      </c>
      <c r="N30" s="6"/>
      <c r="O30" s="6"/>
      <c r="P30" s="6"/>
      <c r="Q30" s="6"/>
      <c r="R30" s="6"/>
      <c r="S30" s="94"/>
    </row>
    <row r="31" spans="1:19">
      <c r="A31" s="9"/>
      <c r="B31" s="5"/>
      <c r="C31" s="6"/>
      <c r="D31" s="6" t="s">
        <v>187</v>
      </c>
      <c r="E31" s="6"/>
      <c r="F31" s="50">
        <f>VLOOKUP($F$22,'DATA QUARTILE'!$A:$H,3,FALSE)</f>
        <v>0</v>
      </c>
      <c r="G31" s="50">
        <f>G30</f>
        <v>0</v>
      </c>
      <c r="H31" s="6"/>
      <c r="I31" s="6"/>
      <c r="J31" s="6" t="s">
        <v>187</v>
      </c>
      <c r="K31" s="6"/>
      <c r="L31" s="50">
        <f>VLOOKUP($M$22,'DATA QUARTILE'!$A:$H,3,FALSE)</f>
        <v>0</v>
      </c>
      <c r="M31" s="50">
        <f>M30</f>
        <v>0</v>
      </c>
      <c r="N31" s="6"/>
      <c r="O31" s="6"/>
      <c r="P31" s="6"/>
      <c r="Q31" s="6"/>
      <c r="R31" s="6"/>
      <c r="S31" s="94"/>
    </row>
    <row r="32" spans="1:19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94"/>
    </row>
    <row r="33" spans="1:19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94"/>
    </row>
    <row r="34" spans="1:19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94"/>
    </row>
    <row r="35" spans="1:19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94"/>
    </row>
    <row r="36" spans="1:19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94"/>
    </row>
    <row r="37" spans="1:19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94"/>
    </row>
    <row r="38" spans="1:19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94"/>
    </row>
    <row r="39" spans="1:19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94"/>
    </row>
    <row r="40" spans="1:19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94"/>
    </row>
    <row r="41" spans="1:19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94"/>
    </row>
    <row r="42" spans="1:19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94"/>
    </row>
    <row r="43" spans="1:19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94"/>
    </row>
    <row r="44" spans="1:19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94"/>
    </row>
    <row r="45" spans="1:19" ht="14.2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94"/>
    </row>
    <row r="46" spans="1:19" ht="14.25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94"/>
    </row>
    <row r="47" spans="1:19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94"/>
    </row>
    <row r="48" spans="1:19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94"/>
    </row>
    <row r="49" spans="1:19">
      <c r="A49" s="9"/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94"/>
    </row>
    <row r="50" spans="1:19" ht="18" customHeight="1">
      <c r="A50" s="9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95"/>
    </row>
    <row r="51" spans="1:19">
      <c r="A51" s="9"/>
    </row>
  </sheetData>
  <mergeCells count="1">
    <mergeCell ref="C8:R8"/>
  </mergeCells>
  <pageMargins left="0.7" right="0.7" top="0.75" bottom="0.75" header="0.3" footer="0.3"/>
  <pageSetup paperSize="9" orientation="portrait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4" tint="0.79998168889431442"/>
  </sheetPr>
  <dimension ref="A1:V60"/>
  <sheetViews>
    <sheetView showGridLines="0" zoomScaleNormal="100" workbookViewId="0">
      <selection activeCell="A36" sqref="A36:XFD36"/>
    </sheetView>
  </sheetViews>
  <sheetFormatPr defaultColWidth="11.42578125" defaultRowHeight="15"/>
  <cols>
    <col min="1" max="1" width="2.85546875" style="10" customWidth="1"/>
    <col min="2" max="3" width="2.140625" style="4" customWidth="1"/>
    <col min="4" max="4" width="38.5703125" style="4" customWidth="1"/>
    <col min="5" max="12" width="15.7109375" style="4" customWidth="1"/>
    <col min="13" max="13" width="4.28515625" style="4" customWidth="1"/>
    <col min="14" max="15" width="15.7109375" style="4" customWidth="1"/>
    <col min="16" max="16" width="4.28515625" style="4" customWidth="1"/>
    <col min="17" max="17" width="2.85546875" style="4" customWidth="1"/>
    <col min="18" max="19" width="11.42578125" style="4" customWidth="1"/>
    <col min="20" max="16384" width="11.42578125" style="4"/>
  </cols>
  <sheetData>
    <row r="1" spans="1:22" ht="15" customHeight="1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10"/>
      <c r="Q1" s="9"/>
    </row>
    <row r="2" spans="1:22" ht="15" customHeight="1">
      <c r="B2" s="91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3"/>
    </row>
    <row r="3" spans="1:22" ht="15" customHeight="1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94"/>
    </row>
    <row r="4" spans="1:22" ht="15" customHeight="1">
      <c r="A4" s="9"/>
      <c r="B4" s="5"/>
      <c r="C4" s="6"/>
      <c r="D4" s="6"/>
      <c r="E4" s="6"/>
      <c r="F4" s="43"/>
      <c r="G4" s="6"/>
      <c r="H4" s="6"/>
      <c r="I4" s="6"/>
      <c r="J4" s="6"/>
      <c r="K4" s="6"/>
      <c r="L4" s="6"/>
      <c r="M4" s="6"/>
      <c r="N4" s="6"/>
      <c r="O4" s="6"/>
      <c r="P4" s="94"/>
    </row>
    <row r="5" spans="1:22" ht="15" customHeight="1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94"/>
    </row>
    <row r="6" spans="1:22" ht="15" customHeight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94"/>
    </row>
    <row r="7" spans="1:22" ht="15" customHeight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94"/>
    </row>
    <row r="8" spans="1:22" ht="75" customHeight="1">
      <c r="A8" s="9"/>
      <c r="B8" s="5"/>
      <c r="D8" s="319" t="str">
        <f>'Page de garde'!C13&amp;" : Détail des prestations réglées - Focus dentaire"</f>
        <v xml:space="preserve"> : Détail des prestations réglées - Focus dentaire</v>
      </c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1"/>
      <c r="P8" s="94"/>
    </row>
    <row r="9" spans="1:22" ht="15" customHeight="1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94"/>
    </row>
    <row r="10" spans="1:22" ht="15" customHeight="1">
      <c r="A10" s="9"/>
      <c r="B10" s="5"/>
      <c r="C10" s="6"/>
      <c r="D10" s="41"/>
      <c r="E10" s="41"/>
      <c r="F10" s="41"/>
      <c r="G10" s="41"/>
      <c r="H10" s="41"/>
      <c r="I10" s="53"/>
      <c r="J10" s="53"/>
      <c r="K10" s="53"/>
      <c r="L10" s="41"/>
      <c r="M10" s="41"/>
      <c r="N10" s="350" t="s">
        <v>164</v>
      </c>
      <c r="O10" s="351"/>
      <c r="P10" s="94"/>
    </row>
    <row r="11" spans="1:22" ht="15" customHeight="1">
      <c r="A11" s="9"/>
      <c r="B11" s="5"/>
      <c r="C11" s="6"/>
      <c r="D11" s="41"/>
      <c r="E11" s="41"/>
      <c r="F11" s="41"/>
      <c r="G11" s="41"/>
      <c r="H11" s="41"/>
      <c r="I11" s="41"/>
      <c r="J11" s="41"/>
      <c r="K11" s="41"/>
      <c r="L11" s="45"/>
      <c r="M11" s="41"/>
      <c r="N11" s="41"/>
      <c r="O11" s="45"/>
      <c r="P11" s="94"/>
    </row>
    <row r="12" spans="1:22" ht="45" customHeight="1">
      <c r="A12" s="9"/>
      <c r="B12" s="5"/>
      <c r="C12" s="6"/>
      <c r="D12" s="41"/>
      <c r="E12" s="244" t="s">
        <v>165</v>
      </c>
      <c r="F12" s="274" t="s">
        <v>175</v>
      </c>
      <c r="G12" s="275" t="s">
        <v>176</v>
      </c>
      <c r="H12" s="289" t="s">
        <v>177</v>
      </c>
      <c r="I12" s="290" t="s">
        <v>178</v>
      </c>
      <c r="J12" s="290" t="s">
        <v>179</v>
      </c>
      <c r="K12" s="291" t="s">
        <v>180</v>
      </c>
      <c r="L12" s="291" t="s">
        <v>181</v>
      </c>
      <c r="M12" s="41"/>
      <c r="N12" s="244" t="s">
        <v>180</v>
      </c>
      <c r="O12" s="248" t="s">
        <v>181</v>
      </c>
      <c r="P12" s="94"/>
    </row>
    <row r="13" spans="1:22" ht="15" customHeight="1" thickBot="1">
      <c r="A13" s="9"/>
      <c r="B13" s="5"/>
      <c r="C13" s="6"/>
      <c r="D13" s="54" t="s">
        <v>84</v>
      </c>
      <c r="E13" s="153">
        <v>3861</v>
      </c>
      <c r="F13" s="154">
        <v>136464.67999999918</v>
      </c>
      <c r="G13" s="150">
        <v>0.15128924537204208</v>
      </c>
      <c r="H13" s="154">
        <v>87122.410000000193</v>
      </c>
      <c r="I13" s="154">
        <v>1267.7</v>
      </c>
      <c r="J13" s="154">
        <v>41800.920000000195</v>
      </c>
      <c r="K13" s="150">
        <v>0.11462243829630163</v>
      </c>
      <c r="L13" s="150">
        <v>0.95402729849218126</v>
      </c>
      <c r="M13" s="148"/>
      <c r="N13" s="149">
        <v>0.12568892385187599</v>
      </c>
      <c r="O13" s="150">
        <v>0.99156018935061996</v>
      </c>
      <c r="P13" s="94"/>
      <c r="V13" s="60"/>
    </row>
    <row r="14" spans="1:22" s="176" customFormat="1" ht="15" customHeight="1" thickBot="1">
      <c r="A14" s="165"/>
      <c r="B14" s="115"/>
      <c r="D14" s="311" t="s">
        <v>87</v>
      </c>
      <c r="E14" s="312">
        <v>947</v>
      </c>
      <c r="F14" s="313">
        <v>491739.06999999989</v>
      </c>
      <c r="G14" s="310">
        <v>0.54515815242632593</v>
      </c>
      <c r="H14" s="313">
        <v>75335.640000000014</v>
      </c>
      <c r="I14" s="313">
        <v>51471.08</v>
      </c>
      <c r="J14" s="313">
        <v>197292.97</v>
      </c>
      <c r="K14" s="310">
        <v>0.54099769287659438</v>
      </c>
      <c r="L14" s="310">
        <v>0.65908875208959905</v>
      </c>
      <c r="M14" s="148"/>
      <c r="N14" s="309">
        <v>0.51761258656490616</v>
      </c>
      <c r="O14" s="310">
        <v>0.79173506279299155</v>
      </c>
      <c r="P14" s="116"/>
      <c r="V14" s="60"/>
    </row>
    <row r="15" spans="1:22" s="176" customFormat="1" ht="15" customHeight="1" thickBot="1">
      <c r="A15" s="165"/>
      <c r="B15" s="115"/>
      <c r="D15" s="311" t="s">
        <v>90</v>
      </c>
      <c r="E15" s="312">
        <v>87</v>
      </c>
      <c r="F15" s="313">
        <v>9826.2000000000007</v>
      </c>
      <c r="G15" s="310">
        <v>1.0893649425439316E-2</v>
      </c>
      <c r="H15" s="313">
        <v>0</v>
      </c>
      <c r="I15" s="313">
        <v>550</v>
      </c>
      <c r="J15" s="313">
        <v>4882.6000000000004</v>
      </c>
      <c r="K15" s="310">
        <v>1.3388593294729457E-2</v>
      </c>
      <c r="L15" s="310">
        <v>0.5528688608007164</v>
      </c>
      <c r="M15" s="148"/>
      <c r="N15" s="309">
        <v>1.0189757595726916E-2</v>
      </c>
      <c r="O15" s="310">
        <v>0.40757417618448788</v>
      </c>
      <c r="P15" s="116"/>
      <c r="V15" s="60"/>
    </row>
    <row r="16" spans="1:22" s="176" customFormat="1" ht="15" customHeight="1" thickBot="1">
      <c r="A16" s="165"/>
      <c r="B16" s="115"/>
      <c r="D16" s="311" t="s">
        <v>92</v>
      </c>
      <c r="E16" s="312">
        <v>105</v>
      </c>
      <c r="F16" s="313">
        <v>57474.42</v>
      </c>
      <c r="G16" s="310">
        <v>6.3718037736913341E-2</v>
      </c>
      <c r="H16" s="313">
        <v>0</v>
      </c>
      <c r="I16" s="313">
        <v>8429.17</v>
      </c>
      <c r="J16" s="313">
        <v>28100</v>
      </c>
      <c r="K16" s="310">
        <v>7.705310113093386E-2</v>
      </c>
      <c r="L16" s="310">
        <v>0.63557265997638601</v>
      </c>
      <c r="M16" s="148"/>
      <c r="N16" s="309">
        <v>3.5218227446838099E-2</v>
      </c>
      <c r="O16" s="310">
        <v>0.51034962373783821</v>
      </c>
      <c r="P16" s="116"/>
      <c r="V16" s="60"/>
    </row>
    <row r="17" spans="1:22" s="176" customFormat="1" ht="15" customHeight="1" thickBot="1">
      <c r="A17" s="165"/>
      <c r="B17" s="115"/>
      <c r="D17" s="311" t="s">
        <v>94</v>
      </c>
      <c r="E17" s="312">
        <v>438</v>
      </c>
      <c r="F17" s="313">
        <v>179661.36</v>
      </c>
      <c r="G17" s="310">
        <v>0.1991785096108003</v>
      </c>
      <c r="H17" s="313">
        <v>49081.120000000003</v>
      </c>
      <c r="I17" s="313">
        <v>16404.089999999997</v>
      </c>
      <c r="J17" s="313">
        <v>82630.550000000017</v>
      </c>
      <c r="K17" s="310">
        <v>0.22658149913361877</v>
      </c>
      <c r="L17" s="310">
        <v>0.8244163352654128</v>
      </c>
      <c r="M17" s="148"/>
      <c r="N17" s="309">
        <v>0.28840142423103415</v>
      </c>
      <c r="O17" s="310">
        <v>0.9210760592143924</v>
      </c>
      <c r="P17" s="116"/>
      <c r="V17" s="60"/>
    </row>
    <row r="18" spans="1:22" s="176" customFormat="1" ht="15" customHeight="1" thickBot="1">
      <c r="A18" s="165"/>
      <c r="B18" s="115"/>
      <c r="D18" s="311" t="s">
        <v>97</v>
      </c>
      <c r="E18" s="312">
        <v>6</v>
      </c>
      <c r="F18" s="313">
        <v>5638.2800000000007</v>
      </c>
      <c r="G18" s="310">
        <v>6.2507831799134949E-3</v>
      </c>
      <c r="H18" s="313">
        <v>0</v>
      </c>
      <c r="I18" s="313">
        <v>0</v>
      </c>
      <c r="J18" s="313">
        <v>1925</v>
      </c>
      <c r="K18" s="310">
        <v>5.2785487429554342E-3</v>
      </c>
      <c r="L18" s="310">
        <v>0.3414161765644842</v>
      </c>
      <c r="M18" s="148"/>
      <c r="N18" s="309">
        <v>8.278736590272234E-3</v>
      </c>
      <c r="O18" s="310">
        <v>0.56949600180712057</v>
      </c>
      <c r="P18" s="116"/>
      <c r="V18" s="60"/>
    </row>
    <row r="19" spans="1:22" s="176" customFormat="1" ht="15" customHeight="1" thickBot="1">
      <c r="A19" s="165"/>
      <c r="B19" s="115"/>
      <c r="D19" s="311" t="s">
        <v>100</v>
      </c>
      <c r="E19" s="312">
        <v>50</v>
      </c>
      <c r="F19" s="313">
        <v>1758.1599999999999</v>
      </c>
      <c r="G19" s="310">
        <v>1.9491541668020585E-3</v>
      </c>
      <c r="H19" s="313">
        <v>1210.25</v>
      </c>
      <c r="I19" s="313">
        <v>0</v>
      </c>
      <c r="J19" s="313">
        <v>530.03</v>
      </c>
      <c r="K19" s="310">
        <v>1.4533969819369706E-3</v>
      </c>
      <c r="L19" s="310">
        <v>0.9898302771078854</v>
      </c>
      <c r="M19" s="148"/>
      <c r="N19" s="309">
        <v>1.3647239855372093E-3</v>
      </c>
      <c r="O19" s="310">
        <v>0.92550991446013842</v>
      </c>
      <c r="P19" s="116"/>
      <c r="V19" s="60"/>
    </row>
    <row r="20" spans="1:22" s="176" customFormat="1" ht="15" customHeight="1" thickBot="1">
      <c r="A20" s="165"/>
      <c r="B20" s="115"/>
      <c r="D20" s="311" t="s">
        <v>103</v>
      </c>
      <c r="E20" s="312">
        <v>141</v>
      </c>
      <c r="F20" s="313">
        <v>19449.599999999999</v>
      </c>
      <c r="G20" s="310">
        <v>2.15624680817635E-2</v>
      </c>
      <c r="H20" s="313">
        <v>0</v>
      </c>
      <c r="I20" s="313">
        <v>1150</v>
      </c>
      <c r="J20" s="313">
        <v>7521.5</v>
      </c>
      <c r="K20" s="310">
        <v>2.0624729542929505E-2</v>
      </c>
      <c r="L20" s="310">
        <v>0.44584464461994078</v>
      </c>
      <c r="M20" s="148"/>
      <c r="N20" s="309">
        <v>1.3245619733809121E-2</v>
      </c>
      <c r="O20" s="310">
        <v>0.76288973009938066</v>
      </c>
      <c r="P20" s="116"/>
      <c r="V20" s="60"/>
    </row>
    <row r="21" spans="1:22" ht="15" customHeight="1" thickBot="1">
      <c r="A21" s="9"/>
      <c r="B21" s="5"/>
      <c r="C21" s="6"/>
      <c r="D21" s="251" t="s">
        <v>3</v>
      </c>
      <c r="E21" s="293">
        <v>5635</v>
      </c>
      <c r="F21" s="294">
        <v>902011.77</v>
      </c>
      <c r="G21" s="295">
        <v>1</v>
      </c>
      <c r="H21" s="294">
        <v>212749.42</v>
      </c>
      <c r="I21" s="294">
        <v>79272.039999999994</v>
      </c>
      <c r="J21" s="294">
        <v>364683.57</v>
      </c>
      <c r="K21" s="295">
        <v>1</v>
      </c>
      <c r="L21" s="295">
        <v>0.72804485688695619</v>
      </c>
      <c r="M21" s="148"/>
      <c r="N21" s="296">
        <v>1</v>
      </c>
      <c r="O21" s="295">
        <v>0.84990346929766825</v>
      </c>
      <c r="P21" s="94"/>
    </row>
    <row r="22" spans="1:22" ht="15" customHeight="1">
      <c r="A22" s="9"/>
      <c r="B22" s="5"/>
      <c r="C22" s="6"/>
      <c r="D22" s="44"/>
      <c r="E22" s="44"/>
      <c r="F22" s="44"/>
      <c r="G22" s="44"/>
      <c r="H22" s="44"/>
      <c r="I22" s="44"/>
      <c r="J22" s="44"/>
      <c r="K22" s="44"/>
      <c r="L22" s="41"/>
      <c r="M22" s="41"/>
      <c r="N22" s="44"/>
      <c r="O22" s="41"/>
      <c r="P22" s="94"/>
    </row>
    <row r="23" spans="1:22" ht="15" customHeight="1">
      <c r="A23" s="9"/>
      <c r="B23" s="5"/>
      <c r="C23" s="6"/>
      <c r="D23" s="41"/>
      <c r="E23" s="41"/>
      <c r="F23" s="41"/>
      <c r="G23" s="41"/>
      <c r="H23" s="41"/>
      <c r="I23" s="53"/>
      <c r="J23" s="53"/>
      <c r="K23" s="53"/>
      <c r="L23" s="41"/>
      <c r="M23" s="41"/>
      <c r="N23" s="350" t="s">
        <v>164</v>
      </c>
      <c r="O23" s="351"/>
      <c r="P23" s="94"/>
    </row>
    <row r="24" spans="1:22" ht="15" customHeight="1">
      <c r="A24" s="9"/>
      <c r="B24" s="5"/>
      <c r="C24" s="6"/>
      <c r="D24" s="41"/>
      <c r="E24" s="41"/>
      <c r="F24" s="41"/>
      <c r="G24" s="41"/>
      <c r="H24" s="41"/>
      <c r="I24" s="41"/>
      <c r="J24" s="41"/>
      <c r="K24" s="44"/>
      <c r="L24" s="41"/>
      <c r="M24" s="41"/>
      <c r="N24" s="41"/>
      <c r="O24" s="41"/>
      <c r="P24" s="94"/>
    </row>
    <row r="25" spans="1:22" ht="45" customHeight="1">
      <c r="A25" s="9"/>
      <c r="B25" s="5"/>
      <c r="C25" s="6"/>
      <c r="D25" s="41"/>
      <c r="E25" s="244" t="s">
        <v>197</v>
      </c>
      <c r="F25" s="292" t="s">
        <v>167</v>
      </c>
      <c r="G25" s="292" t="s">
        <v>168</v>
      </c>
      <c r="H25" s="244" t="s">
        <v>198</v>
      </c>
      <c r="I25" s="292" t="s">
        <v>199</v>
      </c>
      <c r="J25" s="244" t="s">
        <v>200</v>
      </c>
      <c r="K25" s="44"/>
      <c r="L25" s="41"/>
      <c r="M25" s="41"/>
      <c r="N25" s="244" t="s">
        <v>166</v>
      </c>
      <c r="O25" s="275" t="s">
        <v>169</v>
      </c>
      <c r="P25" s="94"/>
    </row>
    <row r="26" spans="1:22" ht="15" customHeight="1" thickBot="1">
      <c r="A26" s="9"/>
      <c r="B26" s="5"/>
      <c r="C26" s="6"/>
      <c r="D26" s="46" t="s">
        <v>84</v>
      </c>
      <c r="E26" s="155">
        <v>35.344387464387459</v>
      </c>
      <c r="F26" s="155">
        <v>14.460000000000006</v>
      </c>
      <c r="G26" s="155">
        <v>836</v>
      </c>
      <c r="H26" s="155">
        <v>10.826449106449157</v>
      </c>
      <c r="I26" s="155">
        <v>0</v>
      </c>
      <c r="J26" s="155">
        <v>291</v>
      </c>
      <c r="K26" s="156"/>
      <c r="L26" s="148"/>
      <c r="M26" s="148"/>
      <c r="N26" s="155">
        <v>29.77177338149486</v>
      </c>
      <c r="O26" s="155">
        <v>8.9077060294526387</v>
      </c>
      <c r="P26" s="94"/>
    </row>
    <row r="27" spans="1:22" s="176" customFormat="1" ht="15" customHeight="1" thickBot="1">
      <c r="A27" s="165"/>
      <c r="B27" s="115"/>
      <c r="D27" s="46" t="s">
        <v>87</v>
      </c>
      <c r="E27" s="155">
        <v>519.25984160506869</v>
      </c>
      <c r="F27" s="155">
        <v>33.74</v>
      </c>
      <c r="G27" s="155">
        <v>2700</v>
      </c>
      <c r="H27" s="155">
        <v>208.3347096092925</v>
      </c>
      <c r="I27" s="155">
        <v>3.0300000000000007</v>
      </c>
      <c r="J27" s="155">
        <v>1118</v>
      </c>
      <c r="K27" s="156"/>
      <c r="L27" s="148"/>
      <c r="M27" s="148"/>
      <c r="N27" s="155">
        <v>437.86921501706485</v>
      </c>
      <c r="O27" s="155">
        <v>244.88946357026268</v>
      </c>
      <c r="P27" s="116"/>
    </row>
    <row r="28" spans="1:22" s="176" customFormat="1" ht="15" customHeight="1" thickBot="1">
      <c r="A28" s="165"/>
      <c r="B28" s="115"/>
      <c r="D28" s="46" t="s">
        <v>90</v>
      </c>
      <c r="E28" s="155">
        <v>112.9448275862069</v>
      </c>
      <c r="F28" s="155">
        <v>38</v>
      </c>
      <c r="G28" s="155">
        <v>550</v>
      </c>
      <c r="H28" s="155">
        <v>56.121839080459772</v>
      </c>
      <c r="I28" s="155">
        <v>10</v>
      </c>
      <c r="J28" s="155">
        <v>110</v>
      </c>
      <c r="K28" s="156"/>
      <c r="L28" s="148"/>
      <c r="M28" s="148"/>
      <c r="N28" s="155">
        <v>210.7354064516129</v>
      </c>
      <c r="O28" s="155">
        <v>83.840309677419356</v>
      </c>
      <c r="P28" s="116"/>
    </row>
    <row r="29" spans="1:22" s="176" customFormat="1" ht="15" customHeight="1" thickBot="1">
      <c r="A29" s="165"/>
      <c r="B29" s="115"/>
      <c r="D29" s="46" t="s">
        <v>92</v>
      </c>
      <c r="E29" s="155">
        <v>547.37542857142853</v>
      </c>
      <c r="F29" s="155">
        <v>300</v>
      </c>
      <c r="G29" s="155">
        <v>1680</v>
      </c>
      <c r="H29" s="155">
        <v>267.61904761904759</v>
      </c>
      <c r="I29" s="155">
        <v>70</v>
      </c>
      <c r="J29" s="155">
        <v>800</v>
      </c>
      <c r="K29" s="156"/>
      <c r="L29" s="148"/>
      <c r="M29" s="148"/>
      <c r="N29" s="155">
        <v>726.29004629629628</v>
      </c>
      <c r="O29" s="155">
        <v>346.56381172839514</v>
      </c>
      <c r="P29" s="116"/>
    </row>
    <row r="30" spans="1:22" s="176" customFormat="1" ht="15" customHeight="1" thickBot="1">
      <c r="A30" s="165"/>
      <c r="B30" s="115"/>
      <c r="D30" s="46" t="s">
        <v>94</v>
      </c>
      <c r="E30" s="155">
        <v>410.18575342465749</v>
      </c>
      <c r="F30" s="155">
        <v>10.75</v>
      </c>
      <c r="G30" s="155">
        <v>1200</v>
      </c>
      <c r="H30" s="155">
        <v>188.65422374429227</v>
      </c>
      <c r="I30" s="155">
        <v>1.2699999999999998</v>
      </c>
      <c r="J30" s="155">
        <v>580.5</v>
      </c>
      <c r="K30" s="156"/>
      <c r="L30" s="148"/>
      <c r="M30" s="148"/>
      <c r="N30" s="155">
        <v>322.80632814822155</v>
      </c>
      <c r="O30" s="155">
        <v>182.20817200039633</v>
      </c>
      <c r="P30" s="116"/>
    </row>
    <row r="31" spans="1:22" s="176" customFormat="1" ht="15" customHeight="1" thickBot="1">
      <c r="A31" s="165"/>
      <c r="B31" s="115"/>
      <c r="D31" s="46" t="s">
        <v>97</v>
      </c>
      <c r="E31" s="155">
        <v>939.71333333333325</v>
      </c>
      <c r="F31" s="155">
        <v>221.28</v>
      </c>
      <c r="G31" s="155">
        <v>1450</v>
      </c>
      <c r="H31" s="155">
        <v>320.83333333333331</v>
      </c>
      <c r="I31" s="155">
        <v>163.72</v>
      </c>
      <c r="J31" s="155">
        <v>385</v>
      </c>
      <c r="K31" s="156"/>
      <c r="L31" s="148"/>
      <c r="M31" s="148"/>
      <c r="N31" s="155">
        <v>680.33340277777779</v>
      </c>
      <c r="O31" s="155">
        <v>366.59986111111112</v>
      </c>
      <c r="P31" s="116"/>
    </row>
    <row r="32" spans="1:22" s="176" customFormat="1" ht="15" customHeight="1" thickBot="1">
      <c r="A32" s="165"/>
      <c r="B32" s="115"/>
      <c r="D32" s="46" t="s">
        <v>100</v>
      </c>
      <c r="E32" s="155">
        <v>35.163200000000003</v>
      </c>
      <c r="F32" s="155">
        <v>15.960000000000003</v>
      </c>
      <c r="G32" s="155">
        <v>88</v>
      </c>
      <c r="H32" s="155">
        <v>10.6006</v>
      </c>
      <c r="I32" s="155">
        <v>4.79</v>
      </c>
      <c r="J32" s="155">
        <v>29.26</v>
      </c>
      <c r="K32" s="156"/>
      <c r="L32" s="148"/>
      <c r="M32" s="148"/>
      <c r="N32" s="155">
        <v>55.702737430167602</v>
      </c>
      <c r="O32" s="155">
        <v>24.308184357541908</v>
      </c>
      <c r="P32" s="116"/>
    </row>
    <row r="33" spans="1:16" s="176" customFormat="1" ht="15" customHeight="1" thickBot="1">
      <c r="A33" s="165"/>
      <c r="B33" s="115"/>
      <c r="D33" s="46" t="s">
        <v>103</v>
      </c>
      <c r="E33" s="155">
        <v>137.94042553191488</v>
      </c>
      <c r="F33" s="155">
        <v>15</v>
      </c>
      <c r="G33" s="155">
        <v>1200</v>
      </c>
      <c r="H33" s="155">
        <v>53.343971631205676</v>
      </c>
      <c r="I33" s="155">
        <v>3.0799999999999996</v>
      </c>
      <c r="J33" s="155">
        <v>110</v>
      </c>
      <c r="K33" s="156"/>
      <c r="L33" s="148"/>
      <c r="M33" s="148"/>
      <c r="N33" s="155">
        <v>142.90004950495049</v>
      </c>
      <c r="O33" s="155">
        <v>104.53257425742576</v>
      </c>
      <c r="P33" s="116"/>
    </row>
    <row r="34" spans="1:16" ht="15" customHeight="1" thickBot="1">
      <c r="A34" s="9"/>
      <c r="B34" s="5"/>
      <c r="C34" s="6"/>
      <c r="D34" s="251" t="s">
        <v>3</v>
      </c>
      <c r="E34" s="297">
        <v>160.07307364685005</v>
      </c>
      <c r="F34" s="298">
        <v>10.75</v>
      </c>
      <c r="G34" s="294">
        <v>2700</v>
      </c>
      <c r="H34" s="297">
        <v>64.717581188997343</v>
      </c>
      <c r="I34" s="298">
        <v>0</v>
      </c>
      <c r="J34" s="298">
        <v>1118</v>
      </c>
      <c r="K34" s="148"/>
      <c r="L34" s="148"/>
      <c r="M34" s="148"/>
      <c r="N34" s="297">
        <v>109.26933994960397</v>
      </c>
      <c r="O34" s="298">
        <v>54.838988467393079</v>
      </c>
      <c r="P34" s="94"/>
    </row>
    <row r="35" spans="1:16" ht="15" customHeight="1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94"/>
    </row>
    <row r="36" spans="1:16" ht="15" customHeight="1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94"/>
    </row>
    <row r="37" spans="1:16" ht="15" customHeight="1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94"/>
    </row>
    <row r="38" spans="1:16" ht="15" customHeight="1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94"/>
    </row>
    <row r="39" spans="1:16" ht="15" customHeight="1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94"/>
    </row>
    <row r="40" spans="1:16" ht="15" customHeight="1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94"/>
    </row>
    <row r="41" spans="1:16" ht="15" customHeight="1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94"/>
    </row>
    <row r="42" spans="1:16" ht="15" customHeight="1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94"/>
    </row>
    <row r="43" spans="1:16" ht="15" customHeight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94"/>
    </row>
    <row r="44" spans="1:16" ht="15" customHeight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94"/>
    </row>
    <row r="45" spans="1:16" ht="1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94"/>
    </row>
    <row r="46" spans="1:16" ht="15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94"/>
    </row>
    <row r="47" spans="1:16" ht="7.5" customHeight="1">
      <c r="A47" s="9"/>
      <c r="B47" s="7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95"/>
    </row>
    <row r="48" spans="1:16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</sheetData>
  <mergeCells count="3">
    <mergeCell ref="N10:O10"/>
    <mergeCell ref="N23:O23"/>
    <mergeCell ref="D8:O8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theme="4" tint="0.79998168889431442"/>
  </sheetPr>
  <dimension ref="A1:T50"/>
  <sheetViews>
    <sheetView showGridLines="0" workbookViewId="0">
      <selection activeCell="C26" sqref="C26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18.5703125" style="4" customWidth="1"/>
    <col min="4" max="10" width="11.42578125" style="4" customWidth="1"/>
    <col min="11" max="11" width="14.28515625" style="4" customWidth="1"/>
    <col min="12" max="17" width="11.42578125" style="4" customWidth="1"/>
    <col min="18" max="18" width="18.5703125" style="4" customWidth="1"/>
    <col min="19" max="19" width="4.28515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10"/>
      <c r="T1" s="9"/>
    </row>
    <row r="2" spans="1:20">
      <c r="B2" s="91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3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94"/>
    </row>
    <row r="4" spans="1:20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94"/>
    </row>
    <row r="5" spans="1:20">
      <c r="A5" s="9"/>
      <c r="B5" s="5"/>
      <c r="C5" s="6"/>
      <c r="D5" s="6"/>
      <c r="E5" s="6"/>
      <c r="F5" s="6"/>
      <c r="G5" s="43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94"/>
    </row>
    <row r="6" spans="1:20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94"/>
    </row>
    <row r="7" spans="1:20">
      <c r="A7" s="9"/>
      <c r="B7" s="5"/>
      <c r="C7" s="17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94"/>
    </row>
    <row r="8" spans="1:20" ht="61.5" customHeight="1">
      <c r="A8" s="9"/>
      <c r="B8" s="5"/>
      <c r="C8" s="319" t="str">
        <f>'Page de garde'!C13&amp;" : Analyse de la dépense médicale dentaire"</f>
        <v xml:space="preserve"> : Analyse de la dépense médicale dentaire</v>
      </c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1"/>
      <c r="S8" s="94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94"/>
    </row>
    <row r="10" spans="1:20" hidden="1">
      <c r="A10" s="9"/>
      <c r="B10" s="5"/>
      <c r="C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94"/>
    </row>
    <row r="11" spans="1:20" hidden="1">
      <c r="A11" s="9"/>
      <c r="B11" s="5"/>
      <c r="C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94"/>
    </row>
    <row r="12" spans="1:20" ht="14.25" customHeight="1">
      <c r="A12" s="9"/>
      <c r="B12" s="5"/>
      <c r="C12" s="6"/>
      <c r="D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94"/>
    </row>
    <row r="13" spans="1:20">
      <c r="A13" s="9"/>
      <c r="B13" s="5"/>
      <c r="C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94"/>
    </row>
    <row r="14" spans="1:20" ht="15" customHeight="1">
      <c r="A14" s="9"/>
      <c r="B14" s="5"/>
      <c r="C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94"/>
    </row>
    <row r="15" spans="1:20" s="180" customFormat="1" ht="18">
      <c r="B15" s="184"/>
      <c r="D15" s="299"/>
      <c r="S15" s="185"/>
    </row>
    <row r="16" spans="1:20">
      <c r="A16" s="9"/>
      <c r="B16" s="5"/>
      <c r="C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94"/>
    </row>
    <row r="17" spans="1:19">
      <c r="A17" s="9"/>
      <c r="B17" s="5"/>
      <c r="C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94"/>
    </row>
    <row r="18" spans="1:19" ht="23.25">
      <c r="A18" s="9"/>
      <c r="B18" s="5"/>
      <c r="C18" s="6"/>
      <c r="H18" s="6"/>
      <c r="I18" s="6"/>
      <c r="J18" s="57" t="s">
        <v>87</v>
      </c>
      <c r="K18" s="6"/>
      <c r="L18" s="6"/>
      <c r="M18" s="6"/>
      <c r="N18" s="6"/>
      <c r="O18" s="6"/>
      <c r="P18" s="6"/>
      <c r="Q18" s="6"/>
      <c r="R18" s="6"/>
      <c r="S18" s="94"/>
    </row>
    <row r="19" spans="1:19">
      <c r="A19" s="9"/>
      <c r="B19" s="5"/>
      <c r="C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94"/>
    </row>
    <row r="20" spans="1:19">
      <c r="A20" s="9"/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94"/>
    </row>
    <row r="21" spans="1:19">
      <c r="A21" s="9"/>
      <c r="B21" s="5"/>
      <c r="C21" s="6"/>
      <c r="D21" s="6"/>
      <c r="E21" s="6"/>
      <c r="F21" s="6"/>
      <c r="G21" s="6"/>
      <c r="H21" s="6"/>
      <c r="I21" s="6"/>
      <c r="J21" s="6"/>
      <c r="K21" s="6" t="s">
        <v>157</v>
      </c>
      <c r="L21" s="6"/>
      <c r="M21" s="6"/>
      <c r="N21" s="6"/>
      <c r="O21" s="6"/>
      <c r="P21" s="6"/>
      <c r="Q21" s="6"/>
      <c r="R21" s="6"/>
      <c r="S21" s="94"/>
    </row>
    <row r="22" spans="1:19">
      <c r="A22" s="9"/>
      <c r="B22" s="5"/>
      <c r="C22" s="6"/>
      <c r="D22" s="6"/>
      <c r="E22" s="6"/>
      <c r="F22" s="6"/>
      <c r="G22" s="6"/>
      <c r="H22" s="6" t="s">
        <v>182</v>
      </c>
      <c r="I22" s="6"/>
      <c r="J22" s="50">
        <f>VLOOKUP($J$18,'DATA QUARTILE'!$A:$H,2,FALSE)</f>
        <v>0</v>
      </c>
      <c r="K22" s="50">
        <f>ROUND(VLOOKUP($J$18,'DATA QUARTILE'!$A:$H,8,FALSE),0)</f>
        <v>0</v>
      </c>
      <c r="L22" s="6"/>
      <c r="M22" s="6"/>
      <c r="N22" s="6"/>
      <c r="O22" s="6"/>
      <c r="P22" s="6"/>
      <c r="Q22" s="6"/>
      <c r="R22" s="6"/>
      <c r="S22" s="94"/>
    </row>
    <row r="23" spans="1:19">
      <c r="A23" s="9"/>
      <c r="B23" s="5"/>
      <c r="C23" s="6"/>
      <c r="D23" s="6"/>
      <c r="E23" s="6"/>
      <c r="F23" s="6"/>
      <c r="G23" s="6"/>
      <c r="H23" s="6"/>
      <c r="I23" s="6" t="s">
        <v>201</v>
      </c>
      <c r="J23" s="50">
        <f>VLOOKUP($J$18,'DATA QUARTILE'!$A:$H,4,FALSE)</f>
        <v>0</v>
      </c>
      <c r="K23" s="50">
        <f>K22</f>
        <v>0</v>
      </c>
      <c r="L23" s="6"/>
      <c r="M23" s="6"/>
      <c r="N23" s="6"/>
      <c r="O23" s="6"/>
      <c r="P23" s="6"/>
      <c r="Q23" s="6"/>
      <c r="R23" s="6"/>
      <c r="S23" s="94"/>
    </row>
    <row r="24" spans="1:19">
      <c r="A24" s="9"/>
      <c r="B24" s="5"/>
      <c r="C24" s="6"/>
      <c r="D24" s="6"/>
      <c r="E24" s="6"/>
      <c r="F24" s="6"/>
      <c r="G24" s="6"/>
      <c r="H24" s="6"/>
      <c r="I24" s="6" t="s">
        <v>202</v>
      </c>
      <c r="J24" s="50">
        <f>VLOOKUP($J$18,'DATA QUARTILE'!$A:$H,5,FALSE)</f>
        <v>0</v>
      </c>
      <c r="K24" s="50">
        <f>K23</f>
        <v>0</v>
      </c>
      <c r="L24" s="6"/>
      <c r="M24" s="6"/>
      <c r="N24" s="6"/>
      <c r="O24" s="6"/>
      <c r="P24" s="6"/>
      <c r="Q24" s="6"/>
      <c r="R24" s="6"/>
      <c r="S24" s="94"/>
    </row>
    <row r="25" spans="1:19">
      <c r="A25" s="9"/>
      <c r="B25" s="5"/>
      <c r="C25" s="6"/>
      <c r="D25" s="6"/>
      <c r="E25" s="6"/>
      <c r="F25" s="6"/>
      <c r="G25" s="6"/>
      <c r="H25" s="6"/>
      <c r="I25" s="6" t="s">
        <v>203</v>
      </c>
      <c r="J25" s="50">
        <f>VLOOKUP($J$18,'DATA QUARTILE'!$A:$H,6,FALSE)</f>
        <v>0</v>
      </c>
      <c r="K25" s="50">
        <f>K24</f>
        <v>0</v>
      </c>
      <c r="L25" s="6"/>
      <c r="M25" s="6"/>
      <c r="N25" s="6"/>
      <c r="O25" s="6"/>
      <c r="P25" s="6"/>
      <c r="Q25" s="6"/>
      <c r="R25" s="6"/>
      <c r="S25" s="94"/>
    </row>
    <row r="26" spans="1:19">
      <c r="A26" s="9"/>
      <c r="B26" s="5"/>
      <c r="C26" s="6"/>
      <c r="D26" s="6"/>
      <c r="E26" s="6"/>
      <c r="F26" s="6"/>
      <c r="G26" s="6"/>
      <c r="H26" s="6"/>
      <c r="I26" s="6" t="s">
        <v>204</v>
      </c>
      <c r="J26" s="50">
        <f>VLOOKUP($J$18,'DATA QUARTILE'!$A:$H,7,FALSE)</f>
        <v>0</v>
      </c>
      <c r="K26" s="50">
        <f>K25</f>
        <v>0</v>
      </c>
      <c r="L26" s="6"/>
      <c r="M26" s="6"/>
      <c r="N26" s="6"/>
      <c r="O26" s="6"/>
      <c r="P26" s="6"/>
      <c r="Q26" s="6"/>
      <c r="R26" s="6"/>
      <c r="S26" s="94"/>
    </row>
    <row r="27" spans="1:19">
      <c r="A27" s="9"/>
      <c r="B27" s="5"/>
      <c r="C27" s="6"/>
      <c r="D27" s="6"/>
      <c r="E27" s="6"/>
      <c r="F27" s="6"/>
      <c r="G27" s="6"/>
      <c r="H27" s="6" t="s">
        <v>187</v>
      </c>
      <c r="I27" s="6"/>
      <c r="J27" s="50">
        <f>VLOOKUP($J$18,'DATA QUARTILE'!$A:$H,3,FALSE)</f>
        <v>0</v>
      </c>
      <c r="K27" s="50">
        <f>K26</f>
        <v>0</v>
      </c>
      <c r="L27" s="6"/>
      <c r="M27" s="6"/>
      <c r="N27" s="6"/>
      <c r="O27" s="6"/>
      <c r="P27" s="6"/>
      <c r="Q27" s="6"/>
      <c r="R27" s="6"/>
      <c r="S27" s="94"/>
    </row>
    <row r="28" spans="1:19">
      <c r="A28" s="9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94"/>
    </row>
    <row r="29" spans="1:19">
      <c r="A29" s="9"/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94"/>
    </row>
    <row r="30" spans="1:19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94"/>
    </row>
    <row r="31" spans="1:19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94"/>
    </row>
    <row r="32" spans="1:19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94"/>
    </row>
    <row r="33" spans="1:19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94"/>
    </row>
    <row r="34" spans="1:19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94"/>
    </row>
    <row r="35" spans="1:19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94"/>
    </row>
    <row r="36" spans="1:19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94"/>
    </row>
    <row r="37" spans="1:19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94"/>
    </row>
    <row r="38" spans="1:19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94"/>
    </row>
    <row r="39" spans="1:19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94"/>
    </row>
    <row r="40" spans="1:19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94"/>
    </row>
    <row r="41" spans="1:19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94"/>
    </row>
    <row r="42" spans="1:19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94"/>
    </row>
    <row r="43" spans="1:19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94"/>
    </row>
    <row r="44" spans="1:19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94"/>
    </row>
    <row r="45" spans="1:19" ht="18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94"/>
    </row>
    <row r="46" spans="1:19" ht="18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94"/>
    </row>
    <row r="47" spans="1:19" ht="18" customHeight="1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94"/>
    </row>
    <row r="48" spans="1:19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94"/>
    </row>
    <row r="49" spans="1:19" ht="18.75" customHeight="1">
      <c r="A49" s="9"/>
      <c r="B49" s="7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95"/>
    </row>
    <row r="50" spans="1:19">
      <c r="A50" s="9"/>
    </row>
  </sheetData>
  <mergeCells count="1">
    <mergeCell ref="C8:R8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 tint="0.79998168889431442"/>
  </sheetPr>
  <dimension ref="A1:J1"/>
  <sheetViews>
    <sheetView zoomScale="85" zoomScaleNormal="85" workbookViewId="0">
      <selection activeCell="B2" sqref="B2"/>
    </sheetView>
  </sheetViews>
  <sheetFormatPr defaultColWidth="11.42578125" defaultRowHeight="15"/>
  <cols>
    <col min="1" max="1" width="7.140625" style="77" bestFit="1" customWidth="1"/>
    <col min="2" max="2" width="21" style="77" bestFit="1" customWidth="1"/>
    <col min="3" max="3" width="4.7109375" style="77" bestFit="1" customWidth="1"/>
    <col min="4" max="4" width="9.5703125" style="77" bestFit="1" customWidth="1"/>
    <col min="5" max="5" width="8.7109375" style="77" bestFit="1" customWidth="1"/>
    <col min="6" max="6" width="25.85546875" style="77" bestFit="1" customWidth="1"/>
    <col min="7" max="7" width="14.5703125" style="77" bestFit="1" customWidth="1"/>
    <col min="8" max="8" width="20.140625" style="77" bestFit="1" customWidth="1"/>
    <col min="9" max="9" width="38" bestFit="1" customWidth="1"/>
    <col min="10" max="10" width="16.42578125" bestFit="1" customWidth="1"/>
  </cols>
  <sheetData>
    <row r="1" spans="1:10">
      <c r="A1" s="77" t="s">
        <v>224</v>
      </c>
      <c r="B1" s="77" t="s">
        <v>225</v>
      </c>
      <c r="C1" s="77" t="s">
        <v>226</v>
      </c>
      <c r="D1" s="77" t="s">
        <v>227</v>
      </c>
      <c r="E1" s="77" t="s">
        <v>228</v>
      </c>
      <c r="F1" s="77" t="s">
        <v>229</v>
      </c>
      <c r="G1" s="77" t="s">
        <v>230</v>
      </c>
      <c r="H1" s="77" t="s">
        <v>231</v>
      </c>
      <c r="I1" s="77" t="s">
        <v>232</v>
      </c>
      <c r="J1" t="s">
        <v>68</v>
      </c>
    </row>
  </sheetData>
  <sortState ref="A1:J2">
    <sortCondition ref="B1:B1048576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 tint="0.79998168889431442"/>
  </sheetPr>
  <dimension ref="A1:H1"/>
  <sheetViews>
    <sheetView tabSelected="1" workbookViewId="0">
      <selection activeCell="H2" sqref="H2"/>
    </sheetView>
  </sheetViews>
  <sheetFormatPr defaultColWidth="11.42578125" defaultRowHeight="15"/>
  <cols>
    <col min="1" max="2" width="11.42578125" style="60" customWidth="1"/>
    <col min="3" max="3" width="16.140625" style="77" bestFit="1" customWidth="1"/>
    <col min="4" max="4" width="37.7109375" style="77" bestFit="1" customWidth="1"/>
    <col min="5" max="5" width="11.42578125" style="77" customWidth="1"/>
    <col min="6" max="6" width="18" style="77" bestFit="1" customWidth="1"/>
    <col min="7" max="7" width="16.42578125" bestFit="1" customWidth="1"/>
    <col min="8" max="8" width="18.140625" bestFit="1" customWidth="1"/>
  </cols>
  <sheetData>
    <row r="1" spans="1:8">
      <c r="A1" s="60" t="s">
        <v>222</v>
      </c>
      <c r="B1" s="60" t="s">
        <v>223</v>
      </c>
      <c r="C1" s="77" t="s">
        <v>206</v>
      </c>
      <c r="D1" s="77" t="s">
        <v>207</v>
      </c>
      <c r="E1" s="77" t="s">
        <v>224</v>
      </c>
      <c r="F1" s="77" t="s">
        <v>243</v>
      </c>
      <c r="G1" t="s">
        <v>68</v>
      </c>
      <c r="H1" s="176" t="s">
        <v>244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 tint="0.79998168889431442"/>
    <pageSetUpPr fitToPage="1"/>
  </sheetPr>
  <dimension ref="A1:R1"/>
  <sheetViews>
    <sheetView zoomScale="85" zoomScaleNormal="85" workbookViewId="0">
      <selection sqref="A1:A1048576"/>
    </sheetView>
  </sheetViews>
  <sheetFormatPr defaultColWidth="11.42578125" defaultRowHeight="15"/>
  <cols>
    <col min="1" max="1" width="10.85546875" style="60" bestFit="1" customWidth="1"/>
    <col min="2" max="2" width="17.5703125" style="77" bestFit="1" customWidth="1"/>
    <col min="3" max="3" width="18.5703125" style="77" bestFit="1" customWidth="1"/>
    <col min="4" max="4" width="11.5703125" style="77" bestFit="1" customWidth="1"/>
    <col min="5" max="6" width="31.85546875" style="77" bestFit="1" customWidth="1"/>
    <col min="7" max="7" width="17.7109375" style="77" bestFit="1" customWidth="1"/>
    <col min="8" max="8" width="10.140625" style="77" bestFit="1" customWidth="1"/>
    <col min="9" max="9" width="11.28515625" style="77" bestFit="1" customWidth="1"/>
    <col min="10" max="10" width="9.7109375" style="77" bestFit="1" customWidth="1"/>
    <col min="11" max="11" width="13.28515625" style="77" bestFit="1" customWidth="1"/>
    <col min="12" max="12" width="11.28515625" style="77" bestFit="1" customWidth="1"/>
    <col min="13" max="13" width="7.85546875" style="77" bestFit="1" customWidth="1"/>
    <col min="14" max="14" width="7" style="77" bestFit="1" customWidth="1"/>
    <col min="15" max="15" width="7.7109375" style="77" bestFit="1" customWidth="1"/>
    <col min="16" max="16" width="9.85546875" style="77" bestFit="1" customWidth="1"/>
    <col min="17" max="17" width="10.28515625" style="77" bestFit="1" customWidth="1"/>
    <col min="18" max="18" width="21.5703125" style="77" bestFit="1" customWidth="1"/>
    <col min="19" max="22" width="11.42578125" style="77" customWidth="1"/>
    <col min="23" max="23" width="33.42578125" style="77" bestFit="1" customWidth="1"/>
    <col min="24" max="25" width="11.42578125" style="77" customWidth="1"/>
    <col min="26" max="16384" width="11.42578125" style="77"/>
  </cols>
  <sheetData>
    <row r="1" spans="1:18">
      <c r="A1" s="60" t="s">
        <v>205</v>
      </c>
      <c r="B1" s="77" t="s">
        <v>206</v>
      </c>
      <c r="C1" s="77" t="s">
        <v>207</v>
      </c>
      <c r="D1" s="77" t="s">
        <v>208</v>
      </c>
      <c r="E1" s="77" t="s">
        <v>150</v>
      </c>
      <c r="F1" s="77" t="s">
        <v>209</v>
      </c>
      <c r="G1" s="77" t="s">
        <v>212</v>
      </c>
      <c r="H1" s="77" t="s">
        <v>213</v>
      </c>
      <c r="I1" s="77" t="s">
        <v>214</v>
      </c>
      <c r="J1" s="77" t="s">
        <v>215</v>
      </c>
      <c r="K1" s="77" t="s">
        <v>216</v>
      </c>
      <c r="L1" s="77" t="s">
        <v>217</v>
      </c>
      <c r="M1" s="77" t="s">
        <v>172</v>
      </c>
      <c r="N1" s="77" t="s">
        <v>218</v>
      </c>
      <c r="O1" s="77" t="s">
        <v>219</v>
      </c>
      <c r="P1" s="77" t="s">
        <v>220</v>
      </c>
      <c r="Q1" s="77" t="s">
        <v>221</v>
      </c>
      <c r="R1" s="77" t="s">
        <v>68</v>
      </c>
    </row>
  </sheetData>
  <sortState ref="A1:R2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9" tint="0.79998168889431442"/>
  </sheetPr>
  <dimension ref="A1:Q1"/>
  <sheetViews>
    <sheetView zoomScale="70" zoomScaleNormal="70" workbookViewId="0">
      <selection sqref="A1:A1048576"/>
    </sheetView>
  </sheetViews>
  <sheetFormatPr defaultColWidth="11.42578125" defaultRowHeight="15"/>
  <cols>
    <col min="1" max="1" width="12.85546875" style="60" bestFit="1" customWidth="1"/>
    <col min="2" max="2" width="12.28515625" style="77" bestFit="1" customWidth="1"/>
    <col min="3" max="3" width="30.140625" style="77" customWidth="1"/>
    <col min="4" max="4" width="21.140625" style="77" bestFit="1" customWidth="1"/>
    <col min="5" max="5" width="40.140625" style="77" bestFit="1" customWidth="1"/>
    <col min="6" max="6" width="31.85546875" style="77" bestFit="1" customWidth="1"/>
    <col min="7" max="7" width="23.5703125" style="77" customWidth="1"/>
    <col min="8" max="8" width="21.5703125" style="77" bestFit="1" customWidth="1"/>
    <col min="9" max="10" width="11.42578125" style="77" customWidth="1"/>
    <col min="11" max="11" width="13.28515625" style="77" bestFit="1" customWidth="1"/>
    <col min="12" max="12" width="11.42578125" style="77" customWidth="1"/>
    <col min="13" max="17" width="23.5703125" style="77" customWidth="1"/>
    <col min="18" max="18" width="21.5703125" style="77" bestFit="1" customWidth="1"/>
    <col min="19" max="22" width="11.42578125" style="77" customWidth="1"/>
    <col min="23" max="23" width="33.42578125" style="77" bestFit="1" customWidth="1"/>
    <col min="24" max="25" width="11.42578125" style="77" customWidth="1"/>
    <col min="26" max="16384" width="11.42578125" style="77"/>
  </cols>
  <sheetData>
    <row r="1" spans="1:17">
      <c r="A1" s="60" t="s">
        <v>205</v>
      </c>
      <c r="B1" s="77" t="s">
        <v>206</v>
      </c>
      <c r="C1" s="77" t="s">
        <v>207</v>
      </c>
      <c r="D1" s="77" t="s">
        <v>211</v>
      </c>
      <c r="E1" s="77" t="s">
        <v>150</v>
      </c>
      <c r="F1" s="77" t="s">
        <v>209</v>
      </c>
      <c r="G1" s="77" t="s">
        <v>212</v>
      </c>
      <c r="H1" s="77" t="s">
        <v>213</v>
      </c>
      <c r="I1" s="77" t="s">
        <v>214</v>
      </c>
      <c r="J1" s="77" t="s">
        <v>215</v>
      </c>
      <c r="K1" s="77" t="s">
        <v>216</v>
      </c>
      <c r="L1" s="77" t="s">
        <v>217</v>
      </c>
      <c r="M1" s="77" t="s">
        <v>172</v>
      </c>
      <c r="N1" s="77" t="s">
        <v>218</v>
      </c>
      <c r="O1" s="77" t="s">
        <v>219</v>
      </c>
      <c r="P1" s="77" t="s">
        <v>220</v>
      </c>
      <c r="Q1" s="77" t="s">
        <v>221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 tint="0.79998168889431442"/>
  </sheetPr>
  <dimension ref="A1:H1"/>
  <sheetViews>
    <sheetView zoomScaleNormal="100" workbookViewId="0">
      <selection sqref="A1:A1048576"/>
    </sheetView>
  </sheetViews>
  <sheetFormatPr defaultColWidth="11.42578125" defaultRowHeight="15"/>
  <cols>
    <col min="1" max="1" width="10.7109375" style="60" bestFit="1" customWidth="1"/>
    <col min="2" max="2" width="16.140625" style="77" bestFit="1" customWidth="1"/>
    <col min="3" max="3" width="18.5703125" style="77" bestFit="1" customWidth="1"/>
    <col min="4" max="4" width="11.5703125" style="77" bestFit="1" customWidth="1"/>
    <col min="5" max="6" width="31.85546875" style="77" bestFit="1" customWidth="1"/>
    <col min="7" max="7" width="11" style="77" bestFit="1" customWidth="1"/>
    <col min="8" max="9" width="11.42578125" style="77" customWidth="1"/>
    <col min="10" max="16384" width="11.42578125" style="77"/>
  </cols>
  <sheetData>
    <row r="1" spans="1:8">
      <c r="A1" s="60" t="s">
        <v>205</v>
      </c>
      <c r="B1" s="77" t="s">
        <v>206</v>
      </c>
      <c r="C1" s="77" t="s">
        <v>207</v>
      </c>
      <c r="D1" s="77" t="s">
        <v>208</v>
      </c>
      <c r="E1" s="77" t="s">
        <v>150</v>
      </c>
      <c r="F1" s="77" t="s">
        <v>209</v>
      </c>
      <c r="G1" s="77" t="s">
        <v>210</v>
      </c>
      <c r="H1" s="77" t="s">
        <v>68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theme="9" tint="0.79998168889431442"/>
  </sheetPr>
  <dimension ref="A1:H5"/>
  <sheetViews>
    <sheetView workbookViewId="0">
      <selection activeCell="A3" sqref="A3"/>
    </sheetView>
  </sheetViews>
  <sheetFormatPr defaultColWidth="11.42578125" defaultRowHeight="15"/>
  <cols>
    <col min="1" max="1" width="31.85546875" style="176" bestFit="1" customWidth="1"/>
    <col min="2" max="16384" width="11.42578125" style="176"/>
  </cols>
  <sheetData>
    <row r="1" spans="1:8">
      <c r="A1" s="176" t="s">
        <v>150</v>
      </c>
      <c r="B1" s="176" t="s">
        <v>151</v>
      </c>
      <c r="C1" s="176" t="s">
        <v>152</v>
      </c>
      <c r="D1" s="176" t="s">
        <v>153</v>
      </c>
      <c r="E1" s="176" t="s">
        <v>154</v>
      </c>
      <c r="F1" s="176" t="s">
        <v>155</v>
      </c>
      <c r="G1" s="176" t="s">
        <v>156</v>
      </c>
      <c r="H1" s="176" t="s">
        <v>157</v>
      </c>
    </row>
    <row r="2" spans="1:8">
      <c r="A2" s="314" t="s">
        <v>104</v>
      </c>
      <c r="B2" s="89"/>
      <c r="C2" s="89"/>
      <c r="D2" s="89"/>
      <c r="E2" s="89"/>
      <c r="F2" s="89"/>
      <c r="G2" s="89"/>
      <c r="H2" s="89"/>
    </row>
    <row r="3" spans="1:8">
      <c r="A3" s="178" t="s">
        <v>237</v>
      </c>
      <c r="B3" s="89"/>
      <c r="C3" s="89"/>
      <c r="D3" s="89"/>
      <c r="E3" s="89"/>
      <c r="F3" s="89"/>
      <c r="G3" s="89"/>
      <c r="H3" s="89"/>
    </row>
    <row r="4" spans="1:8">
      <c r="A4" s="178" t="s">
        <v>238</v>
      </c>
      <c r="B4" s="89"/>
      <c r="C4" s="89"/>
      <c r="D4" s="89"/>
      <c r="E4" s="89"/>
      <c r="F4" s="89"/>
      <c r="G4" s="89"/>
      <c r="H4" s="89"/>
    </row>
    <row r="5" spans="1:8">
      <c r="A5" s="176" t="s">
        <v>87</v>
      </c>
      <c r="B5" s="89"/>
      <c r="C5" s="89"/>
      <c r="D5" s="89"/>
      <c r="E5" s="89"/>
      <c r="F5" s="89"/>
      <c r="G5" s="89"/>
      <c r="H5" s="89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9" tint="0.79998168889431442"/>
  </sheetPr>
  <dimension ref="A1:S38"/>
  <sheetViews>
    <sheetView zoomScaleNormal="100" workbookViewId="0">
      <selection sqref="A1:XFD1048576"/>
    </sheetView>
  </sheetViews>
  <sheetFormatPr defaultColWidth="11.42578125" defaultRowHeight="15"/>
  <cols>
    <col min="1" max="1" width="7" style="176" bestFit="1" customWidth="1"/>
    <col min="2" max="3" width="34.85546875" style="176" bestFit="1" customWidth="1"/>
    <col min="4" max="4" width="2.85546875" style="176" customWidth="1"/>
    <col min="5" max="5" width="7" style="176" bestFit="1" customWidth="1"/>
    <col min="6" max="6" width="8.85546875" style="176" bestFit="1" customWidth="1"/>
    <col min="7" max="7" width="39.28515625" style="176" bestFit="1" customWidth="1"/>
    <col min="8" max="8" width="2.85546875" style="176" customWidth="1"/>
    <col min="9" max="9" width="7" style="176" bestFit="1" customWidth="1"/>
    <col min="10" max="10" width="9.7109375" style="176" bestFit="1" customWidth="1"/>
    <col min="11" max="11" width="31.85546875" style="176" bestFit="1" customWidth="1"/>
    <col min="12" max="12" width="2.85546875" style="176" customWidth="1"/>
    <col min="13" max="13" width="11.7109375" style="176" bestFit="1" customWidth="1"/>
    <col min="14" max="14" width="10.7109375" style="176" bestFit="1" customWidth="1"/>
    <col min="15" max="15" width="14.28515625" style="176" bestFit="1" customWidth="1"/>
    <col min="16" max="16" width="2.85546875" style="176" customWidth="1"/>
    <col min="17" max="17" width="7.140625" style="176" bestFit="1" customWidth="1"/>
    <col min="18" max="18" width="10.5703125" style="176" bestFit="1" customWidth="1"/>
    <col min="19" max="19" width="18.28515625" style="176" bestFit="1" customWidth="1"/>
    <col min="20" max="16384" width="11.42578125" style="176"/>
  </cols>
  <sheetData>
    <row r="1" spans="1:19">
      <c r="A1" s="176" t="s">
        <v>70</v>
      </c>
      <c r="B1" s="176" t="s">
        <v>71</v>
      </c>
      <c r="C1" s="176" t="s">
        <v>72</v>
      </c>
      <c r="E1" s="176" t="s">
        <v>70</v>
      </c>
      <c r="F1" s="176" t="s">
        <v>71</v>
      </c>
      <c r="G1" s="176" t="s">
        <v>72</v>
      </c>
      <c r="I1" s="176" t="s">
        <v>70</v>
      </c>
      <c r="J1" s="176" t="s">
        <v>71</v>
      </c>
      <c r="K1" s="176" t="s">
        <v>72</v>
      </c>
      <c r="M1" s="176" t="s">
        <v>73</v>
      </c>
      <c r="N1" s="176" t="s">
        <v>74</v>
      </c>
      <c r="O1" s="176" t="s">
        <v>75</v>
      </c>
      <c r="Q1" s="176" t="s">
        <v>76</v>
      </c>
      <c r="R1" s="176" t="s">
        <v>77</v>
      </c>
      <c r="S1" s="176" t="s">
        <v>78</v>
      </c>
    </row>
    <row r="2" spans="1:19">
      <c r="A2" s="176">
        <v>1</v>
      </c>
      <c r="B2" s="176" t="s">
        <v>79</v>
      </c>
      <c r="C2" s="176" t="s">
        <v>80</v>
      </c>
      <c r="E2" s="176">
        <v>1</v>
      </c>
      <c r="F2" s="176" t="s">
        <v>81</v>
      </c>
      <c r="G2" s="176" t="s">
        <v>82</v>
      </c>
      <c r="I2" s="176">
        <v>1</v>
      </c>
      <c r="J2" s="176" t="s">
        <v>83</v>
      </c>
      <c r="K2" s="176" t="s">
        <v>84</v>
      </c>
      <c r="M2" s="88"/>
      <c r="N2" s="88"/>
      <c r="O2" s="88"/>
      <c r="Q2" s="87"/>
      <c r="R2" s="87"/>
      <c r="S2" s="87"/>
    </row>
    <row r="3" spans="1:19">
      <c r="A3" s="176">
        <v>2</v>
      </c>
      <c r="B3" s="176" t="s">
        <v>79</v>
      </c>
      <c r="C3" s="176" t="s">
        <v>85</v>
      </c>
      <c r="E3" s="176">
        <v>2</v>
      </c>
      <c r="F3" s="176" t="s">
        <v>81</v>
      </c>
      <c r="G3" s="176" t="s">
        <v>86</v>
      </c>
      <c r="I3" s="176">
        <v>2</v>
      </c>
      <c r="J3" s="176" t="s">
        <v>83</v>
      </c>
      <c r="K3" s="176" t="s">
        <v>87</v>
      </c>
    </row>
    <row r="4" spans="1:19">
      <c r="A4" s="176">
        <v>3</v>
      </c>
      <c r="B4" s="176" t="s">
        <v>79</v>
      </c>
      <c r="C4" s="176" t="s">
        <v>88</v>
      </c>
      <c r="E4" s="176">
        <v>3</v>
      </c>
      <c r="F4" s="176" t="s">
        <v>81</v>
      </c>
      <c r="G4" s="176" t="s">
        <v>89</v>
      </c>
      <c r="I4" s="176">
        <v>3</v>
      </c>
      <c r="J4" s="176" t="s">
        <v>83</v>
      </c>
      <c r="K4" s="176" t="s">
        <v>90</v>
      </c>
    </row>
    <row r="5" spans="1:19">
      <c r="A5" s="176">
        <v>4</v>
      </c>
      <c r="B5" s="176" t="s">
        <v>79</v>
      </c>
      <c r="C5" s="176" t="s">
        <v>91</v>
      </c>
      <c r="E5" s="176">
        <v>4</v>
      </c>
      <c r="F5" s="176" t="s">
        <v>81</v>
      </c>
      <c r="G5" s="178" t="s">
        <v>237</v>
      </c>
      <c r="I5" s="176">
        <v>4</v>
      </c>
      <c r="J5" s="176" t="s">
        <v>83</v>
      </c>
      <c r="K5" s="176" t="s">
        <v>92</v>
      </c>
    </row>
    <row r="6" spans="1:19">
      <c r="A6" s="176">
        <v>5</v>
      </c>
      <c r="B6" s="176" t="s">
        <v>79</v>
      </c>
      <c r="C6" s="176" t="s">
        <v>93</v>
      </c>
      <c r="E6" s="176">
        <v>5</v>
      </c>
      <c r="F6" s="176" t="s">
        <v>81</v>
      </c>
      <c r="G6" s="178" t="s">
        <v>238</v>
      </c>
      <c r="I6" s="176">
        <v>5</v>
      </c>
      <c r="J6" s="176" t="s">
        <v>83</v>
      </c>
      <c r="K6" s="176" t="s">
        <v>94</v>
      </c>
    </row>
    <row r="7" spans="1:19">
      <c r="A7" s="176">
        <v>6</v>
      </c>
      <c r="B7" s="176" t="s">
        <v>79</v>
      </c>
      <c r="C7" s="176" t="s">
        <v>95</v>
      </c>
      <c r="E7" s="176">
        <v>6</v>
      </c>
      <c r="F7" s="176" t="s">
        <v>81</v>
      </c>
      <c r="G7" s="176" t="s">
        <v>96</v>
      </c>
      <c r="I7" s="176">
        <v>6</v>
      </c>
      <c r="J7" s="176" t="s">
        <v>83</v>
      </c>
      <c r="K7" s="176" t="s">
        <v>97</v>
      </c>
    </row>
    <row r="8" spans="1:19">
      <c r="A8" s="176">
        <v>7</v>
      </c>
      <c r="B8" s="176" t="s">
        <v>98</v>
      </c>
      <c r="C8" s="176" t="s">
        <v>98</v>
      </c>
      <c r="E8" s="176">
        <v>7</v>
      </c>
      <c r="F8" s="176" t="s">
        <v>81</v>
      </c>
      <c r="G8" s="176" t="s">
        <v>99</v>
      </c>
      <c r="I8" s="176">
        <v>7</v>
      </c>
      <c r="J8" s="176" t="s">
        <v>83</v>
      </c>
      <c r="K8" s="176" t="s">
        <v>100</v>
      </c>
    </row>
    <row r="9" spans="1:19">
      <c r="A9" s="176">
        <v>8</v>
      </c>
      <c r="B9" s="176" t="s">
        <v>101</v>
      </c>
      <c r="C9" s="176" t="s">
        <v>101</v>
      </c>
      <c r="E9" s="176">
        <v>8</v>
      </c>
      <c r="F9" s="176" t="s">
        <v>81</v>
      </c>
      <c r="G9" s="176" t="s">
        <v>102</v>
      </c>
      <c r="I9" s="176">
        <v>8</v>
      </c>
      <c r="J9" s="176" t="s">
        <v>83</v>
      </c>
      <c r="K9" s="176" t="s">
        <v>103</v>
      </c>
    </row>
    <row r="10" spans="1:19">
      <c r="A10" s="176">
        <v>9</v>
      </c>
      <c r="B10" s="176" t="s">
        <v>104</v>
      </c>
      <c r="C10" s="176" t="s">
        <v>104</v>
      </c>
      <c r="E10" s="176">
        <v>9</v>
      </c>
      <c r="F10" s="176" t="s">
        <v>81</v>
      </c>
      <c r="G10" s="176" t="s">
        <v>105</v>
      </c>
    </row>
    <row r="11" spans="1:19">
      <c r="A11" s="176">
        <v>10</v>
      </c>
      <c r="B11" s="176" t="s">
        <v>106</v>
      </c>
      <c r="C11" s="176" t="s">
        <v>107</v>
      </c>
      <c r="E11" s="176">
        <v>10</v>
      </c>
      <c r="F11" s="176" t="s">
        <v>81</v>
      </c>
      <c r="G11" s="176" t="s">
        <v>108</v>
      </c>
    </row>
    <row r="12" spans="1:19">
      <c r="A12" s="176">
        <v>11</v>
      </c>
      <c r="B12" s="176" t="s">
        <v>106</v>
      </c>
      <c r="C12" s="176" t="s">
        <v>109</v>
      </c>
      <c r="E12" s="176">
        <v>11</v>
      </c>
      <c r="F12" s="176" t="s">
        <v>81</v>
      </c>
      <c r="G12" s="176" t="s">
        <v>110</v>
      </c>
    </row>
    <row r="13" spans="1:19">
      <c r="A13" s="176">
        <v>12</v>
      </c>
      <c r="B13" s="176" t="s">
        <v>106</v>
      </c>
      <c r="C13" s="176" t="s">
        <v>111</v>
      </c>
      <c r="E13" s="176">
        <v>12</v>
      </c>
      <c r="F13" s="176" t="s">
        <v>81</v>
      </c>
      <c r="G13" s="176" t="s">
        <v>112</v>
      </c>
    </row>
    <row r="14" spans="1:19">
      <c r="A14" s="176">
        <v>13</v>
      </c>
      <c r="B14" s="176" t="s">
        <v>106</v>
      </c>
      <c r="C14" s="176" t="s">
        <v>113</v>
      </c>
      <c r="E14" s="176">
        <v>13</v>
      </c>
      <c r="F14" s="176" t="s">
        <v>81</v>
      </c>
      <c r="G14" s="176" t="s">
        <v>114</v>
      </c>
      <c r="N14" s="61"/>
    </row>
    <row r="15" spans="1:19">
      <c r="A15" s="176">
        <v>14</v>
      </c>
      <c r="B15" s="176" t="s">
        <v>115</v>
      </c>
      <c r="C15" s="176" t="s">
        <v>115</v>
      </c>
      <c r="E15" s="176">
        <v>14</v>
      </c>
      <c r="F15" s="176" t="s">
        <v>81</v>
      </c>
      <c r="G15" s="176" t="s">
        <v>116</v>
      </c>
      <c r="N15" s="61"/>
    </row>
    <row r="16" spans="1:19">
      <c r="A16" s="176">
        <v>15</v>
      </c>
      <c r="B16" s="176" t="s">
        <v>117</v>
      </c>
      <c r="C16" s="176" t="s">
        <v>117</v>
      </c>
      <c r="E16" s="176">
        <v>15</v>
      </c>
      <c r="F16" s="176" t="s">
        <v>81</v>
      </c>
      <c r="G16" s="176" t="s">
        <v>118</v>
      </c>
      <c r="L16" s="61"/>
    </row>
    <row r="17" spans="1:14">
      <c r="A17" s="176">
        <v>16</v>
      </c>
      <c r="B17" s="176" t="s">
        <v>83</v>
      </c>
      <c r="C17" s="176" t="s">
        <v>83</v>
      </c>
      <c r="E17" s="176">
        <v>16</v>
      </c>
      <c r="F17" s="176" t="s">
        <v>81</v>
      </c>
      <c r="G17" s="176" t="s">
        <v>119</v>
      </c>
      <c r="L17" s="61"/>
    </row>
    <row r="18" spans="1:14">
      <c r="A18" s="176">
        <v>17</v>
      </c>
      <c r="B18" s="176" t="s">
        <v>81</v>
      </c>
      <c r="C18" s="176" t="s">
        <v>81</v>
      </c>
      <c r="E18" s="176">
        <v>17</v>
      </c>
      <c r="F18" s="176" t="s">
        <v>81</v>
      </c>
      <c r="G18" s="176" t="s">
        <v>120</v>
      </c>
      <c r="L18" s="61"/>
    </row>
    <row r="19" spans="1:14">
      <c r="A19" s="176">
        <v>18</v>
      </c>
      <c r="B19" s="176" t="s">
        <v>121</v>
      </c>
      <c r="C19" s="176" t="s">
        <v>121</v>
      </c>
      <c r="E19" s="176">
        <v>18</v>
      </c>
      <c r="F19" s="176" t="s">
        <v>81</v>
      </c>
      <c r="G19" s="176" t="s">
        <v>122</v>
      </c>
      <c r="L19" s="61"/>
    </row>
    <row r="20" spans="1:14">
      <c r="A20" s="176">
        <v>19</v>
      </c>
      <c r="B20" s="176" t="s">
        <v>239</v>
      </c>
      <c r="C20" s="176" t="s">
        <v>239</v>
      </c>
      <c r="E20" s="176">
        <v>19</v>
      </c>
      <c r="F20" s="176" t="s">
        <v>81</v>
      </c>
      <c r="G20" s="176" t="s">
        <v>123</v>
      </c>
      <c r="L20" s="61"/>
      <c r="N20" s="61"/>
    </row>
    <row r="21" spans="1:14">
      <c r="A21" s="176">
        <v>20</v>
      </c>
      <c r="B21" s="176" t="s">
        <v>124</v>
      </c>
      <c r="C21" s="176" t="s">
        <v>124</v>
      </c>
      <c r="E21" s="176">
        <v>20</v>
      </c>
      <c r="F21" s="176" t="s">
        <v>81</v>
      </c>
      <c r="G21" s="176" t="s">
        <v>125</v>
      </c>
      <c r="L21" s="61"/>
      <c r="N21" s="61"/>
    </row>
    <row r="22" spans="1:14">
      <c r="A22" s="176">
        <v>21</v>
      </c>
      <c r="B22" s="176" t="s">
        <v>126</v>
      </c>
      <c r="C22" s="176" t="s">
        <v>126</v>
      </c>
      <c r="E22" s="176">
        <v>21</v>
      </c>
      <c r="F22" s="176" t="s">
        <v>81</v>
      </c>
      <c r="G22" s="176" t="s">
        <v>127</v>
      </c>
      <c r="L22" s="61"/>
    </row>
    <row r="23" spans="1:14">
      <c r="A23" s="176">
        <v>22</v>
      </c>
      <c r="B23" s="176" t="s">
        <v>128</v>
      </c>
      <c r="C23" s="176" t="s">
        <v>128</v>
      </c>
      <c r="E23" s="176">
        <v>22</v>
      </c>
      <c r="F23" s="176" t="s">
        <v>81</v>
      </c>
      <c r="G23" s="176" t="s">
        <v>129</v>
      </c>
      <c r="L23" s="61"/>
      <c r="N23" s="61"/>
    </row>
    <row r="24" spans="1:14">
      <c r="A24" s="176">
        <v>23</v>
      </c>
      <c r="B24" s="176" t="s">
        <v>130</v>
      </c>
      <c r="C24" s="176" t="s">
        <v>130</v>
      </c>
      <c r="E24" s="176">
        <v>23</v>
      </c>
      <c r="F24" s="176" t="s">
        <v>81</v>
      </c>
      <c r="G24" s="176" t="s">
        <v>131</v>
      </c>
      <c r="L24" s="61"/>
    </row>
    <row r="25" spans="1:14">
      <c r="A25" s="176">
        <v>24</v>
      </c>
      <c r="B25" s="176" t="s">
        <v>132</v>
      </c>
      <c r="C25" s="176" t="s">
        <v>132</v>
      </c>
      <c r="E25" s="176">
        <v>24</v>
      </c>
      <c r="F25" s="176" t="s">
        <v>81</v>
      </c>
      <c r="G25" s="176" t="s">
        <v>133</v>
      </c>
      <c r="L25" s="61"/>
    </row>
    <row r="26" spans="1:14">
      <c r="A26" s="176">
        <v>25</v>
      </c>
      <c r="B26" s="176" t="s">
        <v>134</v>
      </c>
      <c r="C26" s="176" t="s">
        <v>134</v>
      </c>
      <c r="E26" s="176">
        <v>25</v>
      </c>
      <c r="F26" s="176" t="s">
        <v>81</v>
      </c>
      <c r="G26" s="176" t="s">
        <v>135</v>
      </c>
    </row>
    <row r="27" spans="1:14">
      <c r="A27" s="176">
        <v>26</v>
      </c>
      <c r="B27" s="176" t="s">
        <v>136</v>
      </c>
      <c r="C27" s="176" t="s">
        <v>136</v>
      </c>
      <c r="E27" s="176">
        <v>26</v>
      </c>
      <c r="F27" s="176" t="s">
        <v>81</v>
      </c>
      <c r="G27" s="176" t="s">
        <v>137</v>
      </c>
    </row>
    <row r="28" spans="1:14">
      <c r="A28" s="176">
        <v>27</v>
      </c>
      <c r="B28" s="176" t="s">
        <v>138</v>
      </c>
      <c r="C28" s="176" t="s">
        <v>138</v>
      </c>
      <c r="E28" s="176">
        <v>27</v>
      </c>
      <c r="F28" s="176" t="s">
        <v>81</v>
      </c>
      <c r="G28" s="176" t="s">
        <v>139</v>
      </c>
    </row>
    <row r="29" spans="1:14">
      <c r="A29" s="176">
        <v>28</v>
      </c>
      <c r="B29" s="176" t="s">
        <v>140</v>
      </c>
      <c r="C29" s="176" t="s">
        <v>140</v>
      </c>
      <c r="E29" s="176">
        <v>28</v>
      </c>
      <c r="F29" s="176" t="s">
        <v>81</v>
      </c>
      <c r="G29" s="176" t="s">
        <v>141</v>
      </c>
    </row>
    <row r="30" spans="1:14">
      <c r="A30" s="176">
        <v>29</v>
      </c>
      <c r="B30" s="176" t="s">
        <v>240</v>
      </c>
      <c r="C30" s="176" t="s">
        <v>240</v>
      </c>
      <c r="E30" s="176">
        <v>29</v>
      </c>
      <c r="F30" s="176" t="s">
        <v>81</v>
      </c>
      <c r="G30" s="176" t="s">
        <v>142</v>
      </c>
    </row>
    <row r="31" spans="1:14">
      <c r="A31" s="176">
        <v>30</v>
      </c>
      <c r="B31" s="176" t="s">
        <v>240</v>
      </c>
      <c r="C31" s="176" t="s">
        <v>124</v>
      </c>
      <c r="E31" s="176">
        <v>30</v>
      </c>
      <c r="F31" s="176" t="s">
        <v>81</v>
      </c>
      <c r="G31" s="176" t="s">
        <v>143</v>
      </c>
    </row>
    <row r="32" spans="1:14">
      <c r="E32" s="176">
        <v>31</v>
      </c>
      <c r="F32" s="176" t="s">
        <v>81</v>
      </c>
      <c r="G32" s="176" t="s">
        <v>144</v>
      </c>
    </row>
    <row r="33" spans="5:7">
      <c r="E33" s="176">
        <v>32</v>
      </c>
      <c r="F33" s="176" t="s">
        <v>81</v>
      </c>
      <c r="G33" s="176" t="s">
        <v>145</v>
      </c>
    </row>
    <row r="34" spans="5:7">
      <c r="E34" s="176">
        <v>33</v>
      </c>
      <c r="F34" s="176" t="s">
        <v>81</v>
      </c>
      <c r="G34" s="3" t="s">
        <v>146</v>
      </c>
    </row>
    <row r="35" spans="5:7">
      <c r="E35" s="176">
        <v>34</v>
      </c>
      <c r="F35" s="176" t="s">
        <v>81</v>
      </c>
      <c r="G35" s="3" t="s">
        <v>147</v>
      </c>
    </row>
    <row r="36" spans="5:7">
      <c r="E36" s="176">
        <v>35</v>
      </c>
      <c r="F36" s="176" t="s">
        <v>81</v>
      </c>
      <c r="G36" s="3" t="s">
        <v>148</v>
      </c>
    </row>
    <row r="37" spans="5:7">
      <c r="E37" s="176">
        <v>36</v>
      </c>
      <c r="F37" s="176" t="s">
        <v>81</v>
      </c>
      <c r="G37" s="3" t="s">
        <v>149</v>
      </c>
    </row>
    <row r="38" spans="5:7">
      <c r="G38" s="3"/>
    </row>
  </sheetData>
  <sortState ref="A2:C43">
    <sortCondition ref="A1:A1048576"/>
  </sortState>
  <pageMargins left="0.7" right="0.7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G512"/>
  <sheetViews>
    <sheetView workbookViewId="0">
      <selection activeCell="A3" sqref="A3"/>
    </sheetView>
  </sheetViews>
  <sheetFormatPr defaultColWidth="11.42578125" defaultRowHeight="15"/>
  <cols>
    <col min="1" max="1" width="19.5703125" style="176" bestFit="1" customWidth="1"/>
    <col min="2" max="2" width="50.42578125" style="176" bestFit="1" customWidth="1"/>
    <col min="3" max="3" width="16.42578125" style="176" bestFit="1" customWidth="1"/>
    <col min="4" max="16384" width="11.42578125" style="176"/>
  </cols>
  <sheetData>
    <row r="1" spans="1:7">
      <c r="A1" s="176" t="s">
        <v>66</v>
      </c>
      <c r="B1" s="176" t="s">
        <v>67</v>
      </c>
      <c r="C1" s="176" t="s">
        <v>68</v>
      </c>
    </row>
    <row r="2" spans="1:7">
      <c r="A2" s="176" t="s">
        <v>241</v>
      </c>
      <c r="B2" s="176" t="s">
        <v>241</v>
      </c>
      <c r="C2" s="176" t="s">
        <v>69</v>
      </c>
    </row>
    <row r="4" spans="1:7">
      <c r="G4" s="43"/>
    </row>
    <row r="416" spans="1:3">
      <c r="A416" s="315"/>
      <c r="B416" s="315"/>
      <c r="C416" s="315"/>
    </row>
    <row r="438" spans="1:3">
      <c r="A438" s="315"/>
      <c r="B438" s="315"/>
      <c r="C438" s="315"/>
    </row>
    <row r="441" spans="1:3">
      <c r="A441" s="315"/>
      <c r="B441" s="315"/>
      <c r="C441" s="315"/>
    </row>
    <row r="456" spans="1:3">
      <c r="A456" s="315"/>
      <c r="B456" s="315"/>
      <c r="C456" s="315"/>
    </row>
    <row r="478" spans="1:3">
      <c r="A478" s="315"/>
      <c r="B478" s="315"/>
      <c r="C478" s="315"/>
    </row>
    <row r="481" spans="1:3">
      <c r="A481" s="315"/>
      <c r="B481" s="315"/>
      <c r="C481" s="315"/>
    </row>
    <row r="494" spans="1:3">
      <c r="A494" s="75"/>
      <c r="B494" s="75"/>
      <c r="C494" s="75"/>
    </row>
    <row r="495" spans="1:3">
      <c r="A495" s="75"/>
      <c r="B495" s="75"/>
      <c r="C495" s="75"/>
    </row>
    <row r="496" spans="1:3">
      <c r="A496" s="75"/>
      <c r="B496" s="75"/>
      <c r="C496" s="75"/>
    </row>
    <row r="497" spans="1:3">
      <c r="A497" s="75"/>
      <c r="B497" s="75"/>
      <c r="C497" s="75"/>
    </row>
    <row r="498" spans="1:3">
      <c r="A498" s="75"/>
      <c r="B498" s="75"/>
      <c r="C498" s="75"/>
    </row>
    <row r="499" spans="1:3">
      <c r="A499" s="75"/>
      <c r="B499" s="75"/>
      <c r="C499" s="75"/>
    </row>
    <row r="500" spans="1:3">
      <c r="A500" s="75"/>
      <c r="B500" s="75"/>
      <c r="C500" s="75"/>
    </row>
    <row r="501" spans="1:3">
      <c r="A501" s="75"/>
      <c r="B501" s="75"/>
      <c r="C501" s="75"/>
    </row>
    <row r="502" spans="1:3">
      <c r="A502" s="75"/>
      <c r="B502" s="75"/>
      <c r="C502" s="75"/>
    </row>
    <row r="503" spans="1:3">
      <c r="A503" s="75"/>
      <c r="B503" s="75"/>
      <c r="C503" s="75"/>
    </row>
    <row r="504" spans="1:3">
      <c r="A504" s="315"/>
      <c r="B504" s="315"/>
      <c r="C504" s="315"/>
    </row>
    <row r="505" spans="1:3">
      <c r="A505" s="315"/>
      <c r="B505" s="315"/>
      <c r="C505" s="315"/>
    </row>
    <row r="506" spans="1:3">
      <c r="A506" s="315"/>
      <c r="B506" s="315"/>
      <c r="C506" s="315"/>
    </row>
    <row r="507" spans="1:3">
      <c r="A507" s="315"/>
      <c r="B507" s="315"/>
      <c r="C507" s="315"/>
    </row>
    <row r="508" spans="1:3">
      <c r="A508" s="315"/>
      <c r="B508" s="315"/>
      <c r="C508" s="315"/>
    </row>
    <row r="509" spans="1:3">
      <c r="A509" s="315"/>
      <c r="B509" s="315"/>
      <c r="C509" s="315"/>
    </row>
    <row r="512" spans="1:3">
      <c r="C512" s="3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Page de garde</vt:lpstr>
      <vt:lpstr>Résultats</vt:lpstr>
      <vt:lpstr>Evolution effectifs</vt:lpstr>
      <vt:lpstr>Démographie</vt:lpstr>
      <vt:lpstr>Prestations Réglées</vt:lpstr>
      <vt:lpstr>Prestations Réglées N et N-1</vt:lpstr>
      <vt:lpstr>Prestations Réglées Graph</vt:lpstr>
      <vt:lpstr>Quartil consultation spécialist</vt:lpstr>
      <vt:lpstr>Focus Optique</vt:lpstr>
      <vt:lpstr>Focus Réseau de soins</vt:lpstr>
      <vt:lpstr>Focus Réseau de soins Graph</vt:lpstr>
      <vt:lpstr>Quartil monture</vt:lpstr>
      <vt:lpstr>Focus Dentaire</vt:lpstr>
      <vt:lpstr>Quartil prothèse dentaire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COLLEGE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Moeglin</cp:lastModifiedBy>
  <cp:lastPrinted>2017-09-21T08:58:29Z</cp:lastPrinted>
  <dcterms:created xsi:type="dcterms:W3CDTF">2017-05-24T08:26:58Z</dcterms:created>
  <dcterms:modified xsi:type="dcterms:W3CDTF">2020-11-13T08:50:25Z</dcterms:modified>
</cp:coreProperties>
</file>